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cvaberlin.sharepoint.com/sites/MAA1XXA-Crystal/Freigegebene Dokumente/Project/6. Working files/01 Readiness Plans/"/>
    </mc:Choice>
  </mc:AlternateContent>
  <xr:revisionPtr revIDLastSave="3458" documentId="8_{14F5B1A5-4A75-445E-A960-E88E297331A1}" xr6:coauthVersionLast="47" xr6:coauthVersionMax="47" xr10:uidLastSave="{50342049-2D18-4ABF-855C-B03BDA608202}"/>
  <bookViews>
    <workbookView xWindow="-113" yWindow="-113" windowWidth="24267" windowHeight="14526" tabRatio="638" activeTab="2" xr2:uid="{00000000-000D-0000-FFFF-FFFF00000000}"/>
  </bookViews>
  <sheets>
    <sheet name="Cover" sheetId="8" r:id="rId1"/>
    <sheet name="Summary" sheetId="5" r:id="rId2"/>
    <sheet name="JV Readiness Plan" sheetId="1" r:id="rId3"/>
    <sheet name="Data Validation List" sheetId="4" state="hidden" r:id="rId4"/>
  </sheets>
  <definedNames>
    <definedName name="_xlnm._FilterDatabase" localSheetId="2" hidden="1">'JV Readiness Plan'!$A$3:$K$130</definedName>
    <definedName name="_xlnm._FilterDatabase" localSheetId="1" hidden="1">Summary!$B$3:$G$29</definedName>
    <definedName name="POWER_USER_LINK_EDA81D4C_E424_4C6E_8A36_5F1A4994EB75" comment="{&quot;Id&quot;:&quot;POWER_USER_LINK_EDA81D4C_E424_4C6E_8A36_5F1A4994EB75&quot;,&quot;SourceFullName&quot;:&quot;https://cvaberlin.sharepoint.com/sites/MAA1XXA-Crystal/Freigegebene Dokumente/Project/6. Working files/01 Readiness Plans/Maaden - JV Readiness Plan v4.xlsx!Summary!R4C1:R17C2&quot;">"Summary!R4C1:R17C2"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5" l="1"/>
  <c r="G6" i="5"/>
  <c r="G27" i="5"/>
  <c r="N10" i="5"/>
  <c r="N8" i="5"/>
  <c r="N13" i="5"/>
  <c r="M13" i="5"/>
  <c r="L13" i="5"/>
  <c r="K13" i="5"/>
  <c r="N12" i="5"/>
  <c r="M12" i="5"/>
  <c r="L12" i="5"/>
  <c r="K12" i="5"/>
  <c r="N11" i="5"/>
  <c r="M11" i="5"/>
  <c r="L11" i="5"/>
  <c r="K11" i="5"/>
  <c r="M10" i="5"/>
  <c r="L10" i="5"/>
  <c r="K10" i="5"/>
  <c r="N9" i="5"/>
  <c r="M9" i="5"/>
  <c r="L9" i="5"/>
  <c r="K9" i="5"/>
  <c r="M8" i="5"/>
  <c r="L8" i="5"/>
  <c r="K8" i="5"/>
  <c r="N7" i="5"/>
  <c r="M7" i="5"/>
  <c r="L7" i="5"/>
  <c r="K7" i="5"/>
  <c r="M6" i="5"/>
  <c r="L6" i="5"/>
  <c r="K6" i="5"/>
  <c r="N5" i="5"/>
  <c r="M5" i="5"/>
  <c r="L5" i="5"/>
  <c r="K5" i="5"/>
  <c r="N4" i="5"/>
  <c r="M4" i="5"/>
  <c r="L4" i="5"/>
  <c r="K4" i="5"/>
  <c r="G29" i="5"/>
  <c r="F29" i="5"/>
  <c r="E29" i="5"/>
  <c r="D29" i="5"/>
  <c r="G28" i="5"/>
  <c r="F28" i="5"/>
  <c r="E28" i="5"/>
  <c r="D28" i="5"/>
  <c r="F27" i="5"/>
  <c r="E27" i="5"/>
  <c r="D27" i="5"/>
  <c r="G26" i="5"/>
  <c r="F26" i="5"/>
  <c r="E26" i="5"/>
  <c r="D26" i="5"/>
  <c r="G25" i="5"/>
  <c r="F25" i="5"/>
  <c r="E25" i="5"/>
  <c r="D25" i="5"/>
  <c r="G24" i="5"/>
  <c r="F24" i="5"/>
  <c r="E24" i="5"/>
  <c r="D24" i="5"/>
  <c r="G23" i="5"/>
  <c r="F23" i="5"/>
  <c r="E23" i="5"/>
  <c r="D23" i="5"/>
  <c r="G22" i="5"/>
  <c r="F22" i="5"/>
  <c r="E22" i="5"/>
  <c r="D22" i="5"/>
  <c r="G21" i="5"/>
  <c r="F21" i="5"/>
  <c r="E21" i="5"/>
  <c r="D21" i="5"/>
  <c r="G20" i="5"/>
  <c r="F20" i="5"/>
  <c r="E20" i="5"/>
  <c r="D20" i="5"/>
  <c r="G19" i="5"/>
  <c r="F19" i="5"/>
  <c r="E19" i="5"/>
  <c r="D19" i="5"/>
  <c r="G18" i="5"/>
  <c r="F18" i="5"/>
  <c r="E18" i="5"/>
  <c r="D18" i="5"/>
  <c r="G17" i="5"/>
  <c r="F17" i="5"/>
  <c r="E17" i="5"/>
  <c r="D17" i="5"/>
  <c r="G16" i="5"/>
  <c r="F16" i="5"/>
  <c r="E16" i="5"/>
  <c r="D16" i="5"/>
  <c r="G15" i="5"/>
  <c r="F15" i="5"/>
  <c r="E15" i="5"/>
  <c r="D15" i="5"/>
  <c r="G14" i="5"/>
  <c r="F14" i="5"/>
  <c r="E14" i="5"/>
  <c r="D14" i="5"/>
  <c r="G13" i="5"/>
  <c r="F13" i="5"/>
  <c r="E13" i="5"/>
  <c r="D13" i="5"/>
  <c r="G12" i="5"/>
  <c r="F12" i="5"/>
  <c r="E12" i="5"/>
  <c r="D12" i="5"/>
  <c r="G11" i="5"/>
  <c r="F11" i="5"/>
  <c r="E11" i="5"/>
  <c r="D11" i="5"/>
  <c r="G10" i="5"/>
  <c r="F10" i="5"/>
  <c r="E10" i="5"/>
  <c r="D10" i="5"/>
  <c r="G9" i="5"/>
  <c r="F9" i="5"/>
  <c r="E9" i="5"/>
  <c r="D9" i="5"/>
  <c r="G8" i="5"/>
  <c r="F8" i="5"/>
  <c r="E8" i="5"/>
  <c r="D8" i="5"/>
  <c r="G7" i="5"/>
  <c r="F7" i="5"/>
  <c r="E7" i="5"/>
  <c r="D7" i="5"/>
  <c r="F6" i="5"/>
  <c r="E6" i="5"/>
  <c r="D6" i="5"/>
  <c r="G5" i="5"/>
  <c r="F5" i="5"/>
  <c r="E5" i="5"/>
  <c r="D5" i="5"/>
  <c r="G4" i="5"/>
  <c r="F4" i="5"/>
  <c r="E4" i="5"/>
  <c r="D4" i="5"/>
  <c r="I62" i="1"/>
  <c r="J62" i="1" s="1"/>
  <c r="I55" i="1"/>
  <c r="J55" i="1" s="1"/>
  <c r="I53" i="1"/>
  <c r="J53" i="1" s="1"/>
  <c r="I51" i="1"/>
  <c r="G52" i="1" s="1"/>
  <c r="I50" i="1"/>
  <c r="J50" i="1" s="1"/>
  <c r="I49" i="1"/>
  <c r="J49" i="1" s="1"/>
  <c r="I34" i="1"/>
  <c r="I127" i="1"/>
  <c r="J127" i="1" s="1"/>
  <c r="I117" i="1"/>
  <c r="J117" i="1" s="1"/>
  <c r="I97" i="1"/>
  <c r="I95" i="1"/>
  <c r="I94" i="1"/>
  <c r="J94" i="1" s="1"/>
  <c r="I104" i="1"/>
  <c r="J104" i="1" s="1"/>
  <c r="I70" i="1"/>
  <c r="I67" i="1"/>
  <c r="J67" i="1" s="1"/>
  <c r="I66" i="1"/>
  <c r="J66" i="1" s="1"/>
  <c r="I64" i="1"/>
  <c r="J64" i="1" s="1"/>
  <c r="I61" i="1"/>
  <c r="J61" i="1" s="1"/>
  <c r="I60" i="1"/>
  <c r="J60" i="1" s="1"/>
  <c r="I5" i="1"/>
  <c r="J5" i="1" s="1"/>
  <c r="I58" i="1"/>
  <c r="J58" i="1" s="1"/>
  <c r="I48" i="1"/>
  <c r="J48" i="1" s="1"/>
  <c r="I42" i="1"/>
  <c r="J42" i="1" s="1"/>
  <c r="I41" i="1"/>
  <c r="J41" i="1" s="1"/>
  <c r="I40" i="1"/>
  <c r="J40" i="1" s="1"/>
  <c r="I39" i="1"/>
  <c r="J39" i="1" s="1"/>
  <c r="I38" i="1"/>
  <c r="J38" i="1" s="1"/>
  <c r="I45" i="1"/>
  <c r="J45" i="1" s="1"/>
  <c r="I44" i="1"/>
  <c r="J44" i="1" s="1"/>
  <c r="I43" i="1"/>
  <c r="J43" i="1" s="1"/>
  <c r="I33" i="1"/>
  <c r="I29" i="1"/>
  <c r="I8" i="1"/>
  <c r="I25" i="1"/>
  <c r="J25" i="1" s="1"/>
  <c r="I22" i="1"/>
  <c r="J22" i="1" s="1"/>
  <c r="I18" i="1"/>
  <c r="J18" i="1" s="1"/>
  <c r="I15" i="1"/>
  <c r="K2" i="5" l="1"/>
  <c r="L2" i="5"/>
  <c r="M2" i="5"/>
  <c r="E2" i="5"/>
  <c r="F2" i="5"/>
  <c r="D2" i="5"/>
  <c r="N2" i="5"/>
  <c r="G2" i="5"/>
  <c r="J6" i="5"/>
  <c r="J9" i="5"/>
  <c r="J12" i="5"/>
  <c r="J4" i="5"/>
  <c r="J7" i="5"/>
  <c r="J10" i="5"/>
  <c r="J13" i="5"/>
  <c r="C7" i="5"/>
  <c r="J5" i="5"/>
  <c r="J8" i="5"/>
  <c r="J11" i="5"/>
  <c r="C18" i="5"/>
  <c r="C21" i="5"/>
  <c r="C27" i="5"/>
  <c r="C23" i="5"/>
  <c r="C13" i="5"/>
  <c r="C16" i="5"/>
  <c r="C22" i="5"/>
  <c r="C14" i="5"/>
  <c r="C24" i="5"/>
  <c r="C10" i="5"/>
  <c r="C25" i="5"/>
  <c r="C28" i="5"/>
  <c r="C5" i="5"/>
  <c r="C8" i="5"/>
  <c r="C19" i="5"/>
  <c r="C11" i="5"/>
  <c r="C17" i="5"/>
  <c r="C20" i="5"/>
  <c r="C29" i="5"/>
  <c r="C6" i="5"/>
  <c r="C9" i="5"/>
  <c r="C12" i="5"/>
  <c r="C15" i="5"/>
  <c r="C26" i="5"/>
  <c r="C4" i="5"/>
  <c r="I23" i="1"/>
  <c r="J23" i="1" s="1"/>
  <c r="G63" i="1"/>
  <c r="I63" i="1" s="1"/>
  <c r="J63" i="1" s="1"/>
  <c r="G59" i="1"/>
  <c r="I59" i="1" s="1"/>
  <c r="J59" i="1" s="1"/>
  <c r="G19" i="1"/>
  <c r="G26" i="1"/>
  <c r="G54" i="1"/>
  <c r="I54" i="1" s="1"/>
  <c r="J54" i="1" s="1"/>
  <c r="I52" i="1"/>
  <c r="J52" i="1" s="1"/>
  <c r="J51" i="1"/>
  <c r="G105" i="1"/>
  <c r="I105" i="1" s="1"/>
  <c r="I115" i="1"/>
  <c r="J115" i="1" s="1"/>
  <c r="J29" i="1"/>
  <c r="J33" i="1"/>
  <c r="G118" i="1"/>
  <c r="I118" i="1" s="1"/>
  <c r="J8" i="1"/>
  <c r="G122" i="1"/>
  <c r="G96" i="1"/>
  <c r="J95" i="1"/>
  <c r="J97" i="1"/>
  <c r="G98" i="1"/>
  <c r="I98" i="1" s="1"/>
  <c r="J98" i="1" s="1"/>
  <c r="G56" i="1"/>
  <c r="G16" i="1"/>
  <c r="I16" i="1" s="1"/>
  <c r="J15" i="1"/>
  <c r="J70" i="1"/>
  <c r="G7" i="1"/>
  <c r="G6" i="1"/>
  <c r="G71" i="1"/>
  <c r="G46" i="1"/>
  <c r="D11" i="8"/>
  <c r="J2" i="5" l="1"/>
  <c r="C2" i="5"/>
  <c r="G24" i="1"/>
  <c r="I24" i="1" s="1"/>
  <c r="J24" i="1" s="1"/>
  <c r="G120" i="1"/>
  <c r="I120" i="1" s="1"/>
  <c r="J120" i="1" s="1"/>
  <c r="G121" i="1"/>
  <c r="I56" i="1"/>
  <c r="J56" i="1" s="1"/>
  <c r="G106" i="1"/>
  <c r="I106" i="1" s="1"/>
  <c r="G110" i="1"/>
  <c r="I96" i="1"/>
  <c r="J96" i="1" s="1"/>
  <c r="J105" i="1"/>
  <c r="G107" i="1"/>
  <c r="I107" i="1" s="1"/>
  <c r="I122" i="1"/>
  <c r="J122" i="1" s="1"/>
  <c r="G47" i="1"/>
  <c r="J16" i="1"/>
  <c r="I30" i="1"/>
  <c r="I71" i="1"/>
  <c r="J71" i="1" s="1"/>
  <c r="I7" i="1"/>
  <c r="I6" i="1"/>
  <c r="G37" i="1"/>
  <c r="I46" i="1"/>
  <c r="J46" i="1" s="1"/>
  <c r="J34" i="1"/>
  <c r="G17" i="1"/>
  <c r="G88" i="1" l="1"/>
  <c r="I88" i="1" s="1"/>
  <c r="G89" i="1" s="1"/>
  <c r="J106" i="1"/>
  <c r="J107" i="1"/>
  <c r="G108" i="1"/>
  <c r="J7" i="1"/>
  <c r="G9" i="1"/>
  <c r="I9" i="1" s="1"/>
  <c r="J9" i="1" s="1"/>
  <c r="G129" i="1"/>
  <c r="G128" i="1"/>
  <c r="G125" i="1"/>
  <c r="G124" i="1"/>
  <c r="G123" i="1"/>
  <c r="G69" i="1"/>
  <c r="I69" i="1" s="1"/>
  <c r="J69" i="1" s="1"/>
  <c r="G68" i="1"/>
  <c r="I68" i="1" s="1"/>
  <c r="G65" i="1"/>
  <c r="I65" i="1" s="1"/>
  <c r="J65" i="1" s="1"/>
  <c r="I47" i="1"/>
  <c r="H47" i="1" s="1"/>
  <c r="I26" i="1"/>
  <c r="J6" i="1"/>
  <c r="J30" i="1"/>
  <c r="G31" i="1"/>
  <c r="G28" i="1" s="1"/>
  <c r="I37" i="1"/>
  <c r="H37" i="1" s="1"/>
  <c r="G35" i="1"/>
  <c r="J118" i="1"/>
  <c r="I17" i="1"/>
  <c r="J17" i="1" s="1"/>
  <c r="I89" i="1" l="1"/>
  <c r="J89" i="1" s="1"/>
  <c r="J88" i="1"/>
  <c r="I129" i="1"/>
  <c r="J129" i="1" s="1"/>
  <c r="I128" i="1"/>
  <c r="J128" i="1" s="1"/>
  <c r="I125" i="1"/>
  <c r="J125" i="1" s="1"/>
  <c r="I124" i="1"/>
  <c r="J124" i="1" s="1"/>
  <c r="I123" i="1"/>
  <c r="J123" i="1" s="1"/>
  <c r="I121" i="1"/>
  <c r="J121" i="1" s="1"/>
  <c r="I31" i="1"/>
  <c r="I28" i="1" s="1"/>
  <c r="G72" i="1"/>
  <c r="I72" i="1" s="1"/>
  <c r="G73" i="1" s="1"/>
  <c r="J68" i="1"/>
  <c r="G27" i="1"/>
  <c r="I27" i="1" s="1"/>
  <c r="J26" i="1"/>
  <c r="G10" i="1"/>
  <c r="I35" i="1"/>
  <c r="J31" i="1" l="1"/>
  <c r="J72" i="1"/>
  <c r="J27" i="1"/>
  <c r="G21" i="1"/>
  <c r="G36" i="1"/>
  <c r="J35" i="1"/>
  <c r="I73" i="1"/>
  <c r="I10" i="1"/>
  <c r="I21" i="1"/>
  <c r="G11" i="1" l="1"/>
  <c r="J10" i="1"/>
  <c r="G102" i="1"/>
  <c r="I102" i="1" s="1"/>
  <c r="J102" i="1" s="1"/>
  <c r="H21" i="1"/>
  <c r="I36" i="1"/>
  <c r="G32" i="1"/>
  <c r="I19" i="1"/>
  <c r="G74" i="1"/>
  <c r="J73" i="1"/>
  <c r="I11" i="1" l="1"/>
  <c r="G20" i="1"/>
  <c r="J19" i="1"/>
  <c r="J36" i="1"/>
  <c r="I32" i="1"/>
  <c r="H32" i="1" s="1"/>
  <c r="I74" i="1"/>
  <c r="G91" i="1" s="1"/>
  <c r="I91" i="1" s="1"/>
  <c r="G12" i="1" l="1"/>
  <c r="J11" i="1"/>
  <c r="G92" i="1"/>
  <c r="J91" i="1"/>
  <c r="G14" i="1"/>
  <c r="I20" i="1"/>
  <c r="I14" i="1" s="1"/>
  <c r="J74" i="1"/>
  <c r="G75" i="1"/>
  <c r="I12" i="1" l="1"/>
  <c r="J20" i="1"/>
  <c r="H14" i="1"/>
  <c r="I75" i="1"/>
  <c r="G57" i="1"/>
  <c r="G112" i="1" l="1"/>
  <c r="I112" i="1" s="1"/>
  <c r="J112" i="1" s="1"/>
  <c r="G116" i="1"/>
  <c r="I116" i="1" s="1"/>
  <c r="J116" i="1" s="1"/>
  <c r="G13" i="1"/>
  <c r="J12" i="1"/>
  <c r="G111" i="1"/>
  <c r="I111" i="1" s="1"/>
  <c r="J111" i="1" s="1"/>
  <c r="G101" i="1"/>
  <c r="G119" i="1"/>
  <c r="G130" i="1"/>
  <c r="G126" i="1"/>
  <c r="I126" i="1" s="1"/>
  <c r="J126" i="1" s="1"/>
  <c r="I108" i="1"/>
  <c r="G109" i="1" s="1"/>
  <c r="I114" i="1"/>
  <c r="J114" i="1" s="1"/>
  <c r="G113" i="1"/>
  <c r="I113" i="1" s="1"/>
  <c r="J113" i="1" s="1"/>
  <c r="I110" i="1"/>
  <c r="I99" i="1"/>
  <c r="G100" i="1"/>
  <c r="G90" i="1"/>
  <c r="G86" i="1"/>
  <c r="I86" i="1" s="1"/>
  <c r="J86" i="1" s="1"/>
  <c r="G82" i="1"/>
  <c r="I82" i="1" s="1"/>
  <c r="J82" i="1" s="1"/>
  <c r="I57" i="1"/>
  <c r="H57" i="1" s="1"/>
  <c r="G78" i="1"/>
  <c r="I78" i="1" s="1"/>
  <c r="J78" i="1" s="1"/>
  <c r="G79" i="1"/>
  <c r="I79" i="1" s="1"/>
  <c r="G81" i="1"/>
  <c r="I81" i="1" s="1"/>
  <c r="J81" i="1" s="1"/>
  <c r="G83" i="1"/>
  <c r="I83" i="1" s="1"/>
  <c r="J83" i="1" s="1"/>
  <c r="G84" i="1"/>
  <c r="I84" i="1" s="1"/>
  <c r="J84" i="1" s="1"/>
  <c r="G85" i="1"/>
  <c r="I85" i="1" s="1"/>
  <c r="J85" i="1" s="1"/>
  <c r="G77" i="1"/>
  <c r="G80" i="1"/>
  <c r="I80" i="1" s="1"/>
  <c r="J80" i="1" s="1"/>
  <c r="J75" i="1"/>
  <c r="G4" i="1" l="1"/>
  <c r="I13" i="1"/>
  <c r="G87" i="1"/>
  <c r="I119" i="1"/>
  <c r="J119" i="1" s="1"/>
  <c r="I130" i="1"/>
  <c r="J130" i="1" s="1"/>
  <c r="J110" i="1"/>
  <c r="J108" i="1"/>
  <c r="J99" i="1"/>
  <c r="I100" i="1"/>
  <c r="I90" i="1"/>
  <c r="I92" i="1"/>
  <c r="J92" i="1" s="1"/>
  <c r="I77" i="1"/>
  <c r="G76" i="1"/>
  <c r="I4" i="1" l="1"/>
  <c r="H4" i="1" s="1"/>
  <c r="J13" i="1"/>
  <c r="J100" i="1"/>
  <c r="G103" i="1"/>
  <c r="G93" i="1" s="1"/>
  <c r="J90" i="1"/>
  <c r="I87" i="1"/>
  <c r="H87" i="1" s="1"/>
  <c r="I109" i="1"/>
  <c r="J109" i="1" s="1"/>
  <c r="I101" i="1"/>
  <c r="I76" i="1"/>
  <c r="J77" i="1"/>
  <c r="I103" i="1" l="1"/>
  <c r="I93" i="1" s="1"/>
  <c r="J101" i="1"/>
  <c r="J103" i="1" l="1"/>
  <c r="H93" i="1" l="1"/>
  <c r="H76" i="1" l="1"/>
  <c r="J79" i="1"/>
  <c r="I1" i="1" l="1"/>
  <c r="H28" i="1"/>
</calcChain>
</file>

<file path=xl/sharedStrings.xml><?xml version="1.0" encoding="utf-8"?>
<sst xmlns="http://schemas.openxmlformats.org/spreadsheetml/2006/main" count="827" uniqueCount="353">
  <si>
    <t>Category</t>
  </si>
  <si>
    <t>Requirement</t>
  </si>
  <si>
    <t>Description</t>
  </si>
  <si>
    <t>Status</t>
  </si>
  <si>
    <t>Legal</t>
  </si>
  <si>
    <t>Entity Formation</t>
  </si>
  <si>
    <t>Not Started</t>
  </si>
  <si>
    <t>Yes</t>
  </si>
  <si>
    <t>Power of Attorney (PoA)</t>
  </si>
  <si>
    <t>Articles of Association drafting</t>
  </si>
  <si>
    <t>Commercial Registration (CR)</t>
  </si>
  <si>
    <t>Obtain CR from Ministry of Commerce</t>
  </si>
  <si>
    <t>Critical path - unlocks everything</t>
  </si>
  <si>
    <t>Chamber of Commerce registration</t>
  </si>
  <si>
    <t>Register with local Chamber of Commerce</t>
  </si>
  <si>
    <t>No</t>
  </si>
  <si>
    <t>Required for invoicing</t>
  </si>
  <si>
    <t>VAT registration</t>
  </si>
  <si>
    <t>Register for VAT with ZATCA</t>
  </si>
  <si>
    <t>GOSI registration</t>
  </si>
  <si>
    <t>Required before hiring</t>
  </si>
  <si>
    <t>MHRSD registration</t>
  </si>
  <si>
    <t>Labor law compliance</t>
  </si>
  <si>
    <t>Nitaqat classification</t>
  </si>
  <si>
    <t>Obtain initial Saudization classification</t>
  </si>
  <si>
    <t>Governance</t>
  </si>
  <si>
    <t>Shareholders Resolution (General Assembly)</t>
  </si>
  <si>
    <t>Shareholders undertake all resolutions (by unanimous written circular resolution or General Assembly) required to give effect to SHA terms</t>
  </si>
  <si>
    <t>Per SHA Clause 3.1(b)</t>
  </si>
  <si>
    <t>Board appointment resolutions</t>
  </si>
  <si>
    <t>Inaugural Board meeting</t>
  </si>
  <si>
    <t>Framework</t>
  </si>
  <si>
    <t>Corporate bank accounts</t>
  </si>
  <si>
    <t>Bank signatory authorization</t>
  </si>
  <si>
    <t>Register authorized signatories</t>
  </si>
  <si>
    <t>Cash call schedule Year 1</t>
  </si>
  <si>
    <t>Define quarterly funding schedule</t>
  </si>
  <si>
    <t>Office</t>
  </si>
  <si>
    <t>confirm if required  - only 7 people fully dedicated to JV</t>
  </si>
  <si>
    <t>Per org design</t>
  </si>
  <si>
    <t>HR</t>
  </si>
  <si>
    <t>Organization</t>
  </si>
  <si>
    <t>Finance</t>
  </si>
  <si>
    <t>Chart of Accounts configuration</t>
  </si>
  <si>
    <t>Policies</t>
  </si>
  <si>
    <t>Finance Policy Manual</t>
  </si>
  <si>
    <t>Reporting</t>
  </si>
  <si>
    <t>IT</t>
  </si>
  <si>
    <t>Hardware</t>
  </si>
  <si>
    <t>Laptops/computers for Day-1 staff</t>
  </si>
  <si>
    <t>5-Year Exploration Plan</t>
  </si>
  <si>
    <t>Procurement</t>
  </si>
  <si>
    <t>Procurement Policy</t>
  </si>
  <si>
    <t>Emergency Response Plan</t>
  </si>
  <si>
    <t>Field</t>
  </si>
  <si>
    <t>External</t>
  </si>
  <si>
    <t>Stakeholder comms plan</t>
  </si>
  <si>
    <t>Press release (Day-1)</t>
  </si>
  <si>
    <t>Both approve</t>
  </si>
  <si>
    <t>Government stakeholder briefing</t>
  </si>
  <si>
    <t>Brief key government stakeholders</t>
  </si>
  <si>
    <t>MIMR, etc.</t>
  </si>
  <si>
    <t>Based on the SHA document, for MOC/SBC approval of AoA</t>
  </si>
  <si>
    <t>Details of the ultimate beneficiary(ies) for MOC</t>
  </si>
  <si>
    <t>24 hours (in MPP ithe timeline is 5-10 business days) A commercial name reservation remains valid for only 60 days but may be renewed prior to expiry.</t>
  </si>
  <si>
    <t xml:space="preserve">Articles of Association approval </t>
  </si>
  <si>
    <t>Payment of the relevant application fees must be made through SADAD within a period to be specified in an invoice to be issued by MOC; otherwise, the application will be cancelled automatically. MOC typically publishes the articles of association within 24 hours after the payment has been made.</t>
  </si>
  <si>
    <t>ZAKAT, TAX and Customs registration</t>
  </si>
  <si>
    <t>Obtain a Civil Defence Certificate, as necessary</t>
  </si>
  <si>
    <t>Obtain a municipality License from Ministry of Municipal and Rural Affairs</t>
  </si>
  <si>
    <t>Registration with the Saudi Post Office</t>
  </si>
  <si>
    <t>Critical</t>
  </si>
  <si>
    <t>Delayed</t>
  </si>
  <si>
    <t>On-track</t>
  </si>
  <si>
    <t>Completed</t>
  </si>
  <si>
    <t>Owner</t>
  </si>
  <si>
    <t>Start date</t>
  </si>
  <si>
    <t>Provide all Area of Interest and Transition Zone maps and coordinates (Schedule 2)</t>
  </si>
  <si>
    <t>Agree Form of Guarantee for Permitted Transfers (Schedule 10)</t>
  </si>
  <si>
    <t>Title</t>
  </si>
  <si>
    <t>Date</t>
  </si>
  <si>
    <t>Project Crystal - JV Day 1 Readiness Plan</t>
  </si>
  <si>
    <t>Target Completion (%)</t>
  </si>
  <si>
    <t>Notes</t>
  </si>
  <si>
    <t>Workstream</t>
  </si>
  <si>
    <t>End date</t>
  </si>
  <si>
    <t>For and Aramco, since it is a listed joint stock company, the following information would be required for the natural person having the authority to represent in general assemblies of companies owned by Maaden:
• Full name.
• ID number.
• Date and place of birth.
• Nationality.
• National address.
• Phone number.
• Email address (if any).</t>
  </si>
  <si>
    <t>For KSA nationals/residents, approval can be made:
•electronically through a onetime password sent to the phone number registered with the KSA authorities, which can be shared with CC at the relevant time; or
•in writing by signing a consent letter and authenticating the signature before: (i) the Chamber of Commerce; (ii) MOC; or (iii) a KSA licensed bank.
•
For non-KSA nationals/residents, approval can be made in writing by signing a consent letter and authenticating the signature by apostille or notarization and legalization up to the level of the KSA embassy and the Ministry of Foreign Affairs.</t>
  </si>
  <si>
    <t>SHA</t>
  </si>
  <si>
    <t>Action</t>
  </si>
  <si>
    <t>Open bank accounts</t>
  </si>
  <si>
    <t>Initial cash call from shareholders</t>
  </si>
  <si>
    <t>Load CoA in ERP</t>
  </si>
  <si>
    <t>Identify policy required for JV to operate and develop Finance Policy Manual</t>
  </si>
  <si>
    <t>All actions required to achieve JV Day-1 operational readiness</t>
  </si>
  <si>
    <t>(paragraph 2.1.2(d) of Part 2, Schedule 12) Arabic, per MOC template</t>
  </si>
  <si>
    <t>Board members’ and GM information</t>
  </si>
  <si>
    <t>Board Members Registration with MOC</t>
  </si>
  <si>
    <t xml:space="preserve">Post-formation registration </t>
  </si>
  <si>
    <t xml:space="preserve">AoA issuing </t>
  </si>
  <si>
    <t>Municipality License</t>
  </si>
  <si>
    <t>Civil Defence Certificate</t>
  </si>
  <si>
    <t>Saudi Post Registration</t>
  </si>
  <si>
    <t>Incorporation resolution, Properly executed according to each Shareholder's internal corporate governance requirements, Likely notarized and legalized/apostilled for use in MOC</t>
  </si>
  <si>
    <t>Critical path , prior  to AoA notarization and CR issuing. waiting period up to 90 days, it will require a significant pack of documents: signed SHA, transaction description, copies of CR, AoA of the mother companies, org chart of the mother companies,audited finance reports…</t>
  </si>
  <si>
    <t>Provide laptops and mobile phones for day-1 staff</t>
  </si>
  <si>
    <t>Issue legalized power of attorney authorizing Kingdom representatives before MOC and SBC</t>
  </si>
  <si>
    <t>Source: Steps Plan - company incorporation</t>
  </si>
  <si>
    <t>Gather information of the ultimate beneficiaries for Ministry of Commerce</t>
  </si>
  <si>
    <t>Submit reservation of Trade name with Saudi Business Center (SBC), and obtain name approval from MOC</t>
  </si>
  <si>
    <t>Draft AoA incorporating SHA terms and get shareholders approval</t>
  </si>
  <si>
    <t>Board members and GM to approve their appointment - completed via Absher digital system</t>
  </si>
  <si>
    <t>Formally register all directors with MOC</t>
  </si>
  <si>
    <t>Complete payment of the MOC application and publication fees, Deliver Articles of Association issued electronically via the SBC portal</t>
  </si>
  <si>
    <t>Register with General Organization for Social Insurance (GOSI)</t>
  </si>
  <si>
    <t>Register with Ministry of Human Resources (MHRSD)</t>
  </si>
  <si>
    <t>Register with the ZAKAT, Tax and Customs Authority</t>
  </si>
  <si>
    <t>Obtain all other operational licenses and registrations (e.g. licenses from the MIMR)</t>
  </si>
  <si>
    <t>Other licenses and registrations</t>
  </si>
  <si>
    <t>JV office</t>
  </si>
  <si>
    <t>Secondee nomination and mobilization</t>
  </si>
  <si>
    <t>Nominate and mobilize secondees</t>
  </si>
  <si>
    <t>Develop external stakeholder communications plan</t>
  </si>
  <si>
    <t>Mohammed</t>
  </si>
  <si>
    <t>Develop 5-year Exploration Plan (2026-2030)</t>
  </si>
  <si>
    <t>Define cost allocation methodology and determine cost rates for secondees</t>
  </si>
  <si>
    <t xml:space="preserve">Set up HR processes, policies and systems for JV </t>
  </si>
  <si>
    <t>JV setup</t>
  </si>
  <si>
    <t>Processes and systems</t>
  </si>
  <si>
    <t>Register JV email domain (if any) and create email accounts for Day-1 staff</t>
  </si>
  <si>
    <t>Email</t>
  </si>
  <si>
    <t xml:space="preserve">Acquire / subscribe to systems needed for JV operations (not available through shareholders) </t>
  </si>
  <si>
    <t>New systems</t>
  </si>
  <si>
    <t>HSE policies, procedures and systems</t>
  </si>
  <si>
    <t>Develop emergency response plan</t>
  </si>
  <si>
    <t>Set up HSE processes, policies and systems for JV (e.g. incident reporting system)</t>
  </si>
  <si>
    <t>Muddassar / Mohammed</t>
  </si>
  <si>
    <t>Muddassar</t>
  </si>
  <si>
    <t>Define JV's HSE policies, procedures and systems requirements</t>
  </si>
  <si>
    <t>HSSE</t>
  </si>
  <si>
    <t>Field HSSE plan</t>
  </si>
  <si>
    <t>Develop HSSE plan for exploration activities</t>
  </si>
  <si>
    <t>Initial capital contribution</t>
  </si>
  <si>
    <t xml:space="preserve">not later than 15 business days after the Commencement Date </t>
  </si>
  <si>
    <t>First Board Meeting — Must Resolve:
Appoint Management TeamCEO, CFO, GM of Exploration, Financial Controller Open bank account With KSA-licensed bank Ratify Initial Budget and Business Plan Adopt Related Agreements GSAs, TSA, Secondment, Exploration Services Adopt Company policies HR, finance, procurement, etc.Adopt Initial Authority MatrixDelegation of authority framework</t>
  </si>
  <si>
    <t>Finalize Exploration License Assignment Agreeement</t>
  </si>
  <si>
    <t>Map in Part 1 is included, but all coordinate fields and the Transition Zone map remain as placeholders. Footnote 5 explicitly asks MDN to confirm.</t>
  </si>
  <si>
    <t>Is this a separate agreement, or should it be a SHA section/schedule?
Is this the same as Exploration Services Agreement?</t>
  </si>
  <si>
    <t>Confirm with Aramco/Legal if this is Maaden's Technical Service Agreements or something else.
Note: CVA validated full catalogue of technical services with Mohammed/Owen, next step: determine prices/SLAs with Abulrahman and Hassen</t>
  </si>
  <si>
    <t>STILL OPEN. Schedule 10 is completely empty. Footnote 26 confirms this is still under discussion. Both parties need to agree on the form.</t>
  </si>
  <si>
    <t xml:space="preserve">STILL OPEN. Schedule 11 is entirely a placeholder. The substantive framework in Clause 21 exists, but the actual agreement form needs to be drafted.
What exactly is this form? We understand GSA is a separament document, correct? </t>
  </si>
  <si>
    <t>Need to confirme timeline and what is prerequisite for signing and what can be handled as CP.
This is the final deliverable. Potential key blockers: multiple empty schedules, numerous 'Note to Draft' items, outstanding commercial terms</t>
  </si>
  <si>
    <t>Economical assumptions</t>
  </si>
  <si>
    <t>DoA</t>
  </si>
  <si>
    <t>Guarantee for Permitted Transfers</t>
  </si>
  <si>
    <t>Exploration License Assignment Agreeement</t>
  </si>
  <si>
    <t>Budget and BP</t>
  </si>
  <si>
    <t>ERP, Procurement (subsystems)</t>
  </si>
  <si>
    <t xml:space="preserve">Leverage Maaden   accounting policy manual, maaden exploration procedure manual to be adopted by JV, </t>
  </si>
  <si>
    <t>Standard master framework</t>
  </si>
  <si>
    <t>Treasury</t>
  </si>
  <si>
    <t>Facilities</t>
  </si>
  <si>
    <t>Define the pricing methodology: establish the approach and basis for pricing each category of services (e.g., cost-plus, market benchmark, fixed fee)</t>
  </si>
  <si>
    <t>Finalize the TSA legal framework:  draft and agree on the legal terms and conditions governing the provision of services, including scope, performance standards, liability, and termination provisions</t>
  </si>
  <si>
    <t>Design the multi-tiered financial approval matrix (incl governance and internal controls) : define approval tiers below Board thresholds across CAPEX, OPEX, contracts, procurement, HR, litigation, treasury, and asset management, aligned with SHA ceilings</t>
  </si>
  <si>
    <t>Obtain reference governance framework, obtain Maaden's existing Authority Matrix and Aramco's governance frameworks as benchmarks for the JV</t>
  </si>
  <si>
    <t>TSA</t>
  </si>
  <si>
    <t>GSA</t>
  </si>
  <si>
    <t>Define TSA governance structure and process: how TSA services are requested, approved, monitored, billed, paid, accounted (TSA management process)</t>
  </si>
  <si>
    <t xml:space="preserve">Secondment </t>
  </si>
  <si>
    <t>Board of Directors Aramco</t>
  </si>
  <si>
    <t xml:space="preserve">Finalize Exploration Services Agreement </t>
  </si>
  <si>
    <t>Align Roles, Responsibilities &amp; Sources</t>
  </si>
  <si>
    <t>Identify Inputs &amp; Assumptions</t>
  </si>
  <si>
    <t>Identify the full list of inputs and assumptions required to build the model. Define sources and providers for each item, and set deadlines for delivery.</t>
  </si>
  <si>
    <t>Construct the financial and operational model based on the defined inputs, assumptions, and agreed structure. Ensure formulas are robust and the model is auditable.</t>
  </si>
  <si>
    <t>Package BP into Final Deliverable</t>
  </si>
  <si>
    <t>Obtain Feedback from Aramco &amp; Update</t>
  </si>
  <si>
    <t>Clarify roles and responsibilities across Maaden finance and technical teams. Define who provides what, sources of information, and internal points of contact for each workstream.</t>
  </si>
  <si>
    <t>Present the draft model and BP outputs to key Maaden stakeholders (technical and finance) for review. Incorporate feedback and resolve any open items.</t>
  </si>
  <si>
    <t>Validate with Key Maaden Stakeholders</t>
  </si>
  <si>
    <t>Build the Draft Model</t>
  </si>
  <si>
    <t>Define GSA governance structure and process : how GSA services are requested, approved, monitored, billed, paid, accounted (GSA management process)</t>
  </si>
  <si>
    <t>STILL OPEN. Schedule 13 is completely empty. Each party needs to disclose their existing competing businesses. This is referenced in Clause 20.1(a)(i).STILL OPEN. Schedule 14 is completely empty. The funding notice templates need to be developed.
Plus, the distinction between 'Form of Funding Notices' and 'Funding Request Notice template' is unclear in the SHA.</t>
  </si>
  <si>
    <t>SHA signed by both Shareholders</t>
  </si>
  <si>
    <t>Define auditing principles</t>
  </si>
  <si>
    <t>REQUIREMENTS BY WORKSTREAM</t>
  </si>
  <si>
    <t>Governance structure</t>
  </si>
  <si>
    <t>Catalogue of technical services</t>
  </si>
  <si>
    <t>Legal framework</t>
  </si>
  <si>
    <t>Finalize the GSA legal framework:  draft and agree on the legal terms and conditions governing the provision of services, including scope, performance standards, liability, and termination provisions</t>
  </si>
  <si>
    <t xml:space="preserve">Finalization of the Agreement </t>
  </si>
  <si>
    <t>Allocation methodology</t>
  </si>
  <si>
    <t>Schedule 12, Part 2, paragraph 3.1 requires that at least three (3) Business Days prior to the Commencement Date, each Shareholder must deliver to the other a written Shareholders' resolution approving the appointment of their respective Directors in accordance with Clause 6.</t>
  </si>
  <si>
    <t>Gather constitutional documents and Financial Statements (e.g., certificate of incorporation and articles (or equivalent) and audited financial statements of each Shareholder</t>
  </si>
  <si>
    <t>GAC no-notification application form</t>
  </si>
  <si>
    <t>GAC no-notification economic report</t>
  </si>
  <si>
    <t>Apply for and receive all required antitrust approvals (including GAC confirmation of non-applicability)</t>
  </si>
  <si>
    <t>GAC approval</t>
  </si>
  <si>
    <t>Agree on external auditor selection criteria and process, define audit committee role, and confirm audit timeline for Year 1</t>
  </si>
  <si>
    <t>Identify and procure insurance coverage for the JV (D&amp;O liability, general liability, professional indemnity, property/equipment insurance for exploration activities)</t>
  </si>
  <si>
    <t xml:space="preserve"> authorize representatives before MOC and SBC (Maaden issued, Aramco pending)</t>
  </si>
  <si>
    <t>Initial Insurance protection</t>
  </si>
  <si>
    <t>Each Shareholder formally approves the appointment of their nominated Directors</t>
  </si>
  <si>
    <t>Identify and shortlist external auditors, define scope of audit, present recommendation to Board for approval at inaugural meeting</t>
  </si>
  <si>
    <t>External auditor selection</t>
  </si>
  <si>
    <t>Constitutional documents</t>
  </si>
  <si>
    <t>Board members/GM appointment consent</t>
  </si>
  <si>
    <t xml:space="preserve">Need GM appointed, </t>
  </si>
  <si>
    <t>Requires Commercial Registration (CR), Article of Association (AoA), Board Resolution, Board Bank Delegation of Authority, Bank KYC process → 2-4 weeks typically</t>
  </si>
  <si>
    <t>Prepare on-boarding documentation for JV Board of Directors</t>
  </si>
  <si>
    <t>Corporate Governance Setup</t>
  </si>
  <si>
    <t xml:space="preserve">Initial Board remuneration </t>
  </si>
  <si>
    <t xml:space="preserve">Define initial remuneration for Board Memebrs </t>
  </si>
  <si>
    <t>Rene Thumbran</t>
  </si>
  <si>
    <t>Define permanent HQ location setup plan, and secure physical office space (e.g. sign leasing contract if needed)</t>
  </si>
  <si>
    <t>Define Finance KPIs &amp; monitor main performance measurement indicators</t>
  </si>
  <si>
    <t>At the Commencement date SHaholders exchange signed SHA and transactional documents (Secondment Agreement, GSAs, TSAs, ESA)On the Commencement Date, the AoA are signed before MOC/SBC, shares are issued, and the entity comes into existence. The directors named in those pre-completion resolutions are effectively the initial directors.</t>
  </si>
  <si>
    <t>Aramco Data migration plan</t>
  </si>
  <si>
    <t>AoA signing</t>
  </si>
  <si>
    <t>Ramesh Murugesan</t>
  </si>
  <si>
    <t>Fathima Mahomed</t>
  </si>
  <si>
    <t>Complete existing competing businesses disclosure (Schedule 13)</t>
  </si>
  <si>
    <t>STILL OPEN. Schedule 13 is completely empty. Each party needs to disclose their existing competing businesses. This is referenced in Clause 20.1(a)(i).</t>
  </si>
  <si>
    <t>Develop Form of Funding Notices, and standard Funding Request Notice template (Schedule 14)</t>
  </si>
  <si>
    <t>STILL OPEN. Schedule 14 is completely empty. The funding notice templates need to be developed.
Plus, the distinction between 'Form of Funding Notices' and 'Funding Request Notice template' is unclear in the SHA.</t>
  </si>
  <si>
    <t>BP Final Deliverable validation</t>
  </si>
  <si>
    <t>Owen Hatton</t>
  </si>
  <si>
    <t>Budget and Business Plan</t>
  </si>
  <si>
    <t>Area of Interest and Transition Zone</t>
  </si>
  <si>
    <t>Aramco</t>
  </si>
  <si>
    <t>Finalize Form of Shareholder Services Agreement (Schedule 11)</t>
  </si>
  <si>
    <t>SHA documentation</t>
  </si>
  <si>
    <t>Competing business disclosure</t>
  </si>
  <si>
    <t>Funding Notices</t>
  </si>
  <si>
    <t>Duration</t>
  </si>
  <si>
    <t>Charge-out rate</t>
  </si>
  <si>
    <t>Apply the agreed pricing methodology to determine the applicable rates for each service in the catalogue</t>
  </si>
  <si>
    <t>Share the finalized TSA version with Aramco for review. Collect feedback, incorporate agreed changes, and lock the final version for approval.</t>
  </si>
  <si>
    <t>Share the finalized BP with Aramco for review. Collect feedback, incorporate agreed changes, and lock the final version for approval</t>
  </si>
  <si>
    <t>Catalogue of  general services</t>
  </si>
  <si>
    <t>Develop the catalogue of services to be provided by Maaden to the JV under the GSA</t>
  </si>
  <si>
    <t>Develop the catalogue of technical services to be provided by Maaden to the JV under the TSA, identify what services are to be provided by 3d parties</t>
  </si>
  <si>
    <t>Complete Design of DoA (Shedule 15)</t>
  </si>
  <si>
    <t>Shareholders reference DoAs</t>
  </si>
  <si>
    <t xml:space="preserve">JV Day-1 Org Chart </t>
  </si>
  <si>
    <t>Share the finalized DoA version with Aramco for review. Collect feedback, incorporate agreed changes, and lock the final version for approval</t>
  </si>
  <si>
    <t>Share the finalized TSA version with Aramco for review. Collect feedback, incorporate agreed changes, and lock the final version for approval</t>
  </si>
  <si>
    <t>Secondment framework</t>
  </si>
  <si>
    <t>Develop secondment framework agreement (duration, cost basis, reporting lines, benefits)</t>
  </si>
  <si>
    <t>Draft JV secondment agreement</t>
  </si>
  <si>
    <t>JV secondment agreement draft</t>
  </si>
  <si>
    <t>Share the finalized Secondment Agreement with Aramco for review. Collect feedback, incorporate agreed changes, and lock the final version for approval</t>
  </si>
  <si>
    <t xml:space="preserve">Exploration Services Agreement </t>
  </si>
  <si>
    <t>Share the final SHA documentation with Aramco for review. Collect feedback, incorporate agreed changes, and lock the final version for approval</t>
  </si>
  <si>
    <t>Corporate approval</t>
  </si>
  <si>
    <t>Obtain approval at BoD meeting (mid-May)</t>
  </si>
  <si>
    <t>Sign Shareholder Agreement</t>
  </si>
  <si>
    <t>Maaden and Aramco CEOs</t>
  </si>
  <si>
    <t>Gather - from each board member and GM - a copy of passport/ID and contact information for MoC</t>
  </si>
  <si>
    <t>Prepare GAC no-notification application form to be submitted to the GAC</t>
  </si>
  <si>
    <t>Submit GAC no-notification economic report</t>
  </si>
  <si>
    <t>Sign AoA before MOC/SBC official (via SBC portal)</t>
  </si>
  <si>
    <t xml:space="preserve">Submit AoA through SBC Portal (MOC) for MOC approval </t>
  </si>
  <si>
    <t xml:space="preserve"> 2-3 weeks for MOC review. At the Commencement date SHaholders exchange signed SHA and transactional documents (Secondment Agreement, GSAs, TSAs, ESA) On the Commencement Date, the AoA are signed before MOC/SBC, shares are issued, and the entity comes into existence. The directors named in those pre-completion resolutions are effectively the initial directors.
</t>
  </si>
  <si>
    <t>Board of Directors on-boarding</t>
  </si>
  <si>
    <t>Prepare and conduct first Board meeting and approve foundational resolutions (e.g. company accession)</t>
  </si>
  <si>
    <t>Operational readiness</t>
  </si>
  <si>
    <t>Finance performance management</t>
  </si>
  <si>
    <t>Reporting templates</t>
  </si>
  <si>
    <t>Data</t>
  </si>
  <si>
    <t>Manage and oversee data migration plan for all relevant data</t>
  </si>
  <si>
    <t>Secondees positions</t>
  </si>
  <si>
    <t>Determine which positions will be filled by secondees</t>
  </si>
  <si>
    <t>Performance management</t>
  </si>
  <si>
    <t>Prepare and publish press-release for launch announcement</t>
  </si>
  <si>
    <t>Comms</t>
  </si>
  <si>
    <t>BoD Charter</t>
  </si>
  <si>
    <t>Alignment between shareholders</t>
  </si>
  <si>
    <t>Systems and processes</t>
  </si>
  <si>
    <t>Prepare and run training sessions with JV employees on relevant systems and processes</t>
  </si>
  <si>
    <t>Develop BoD Charter (incl. board composition, committees, authority matrices, voting &amp; veto rights, exec management governance, performance assessment)</t>
  </si>
  <si>
    <t>Develop executive management transition support plan to support smooth handover from setup phase to operational governance</t>
  </si>
  <si>
    <t>Executive management transition plan</t>
  </si>
  <si>
    <t xml:space="preserve">Define main JV secondees performance KPIs </t>
  </si>
  <si>
    <t>Hassen Moolla</t>
  </si>
  <si>
    <t xml:space="preserve">Hassen Moolla </t>
  </si>
  <si>
    <t>Marwan Sutan</t>
  </si>
  <si>
    <t>Abdullah Alzamil</t>
  </si>
  <si>
    <t>Define standard monthly /quarterly financial report templates (including BoD, shareholders) and align with Aramco CFO</t>
  </si>
  <si>
    <t>CVA: do we really need this? This is only mentioned once on 15.12. Is this critical for SHA signing
Mohammed: if needed, Muddassar to provide leveraging internal benchmarks (from other Maaden JVs?)</t>
  </si>
  <si>
    <t>to be confirmed (Fathima)</t>
  </si>
  <si>
    <t>Susan Parker</t>
  </si>
  <si>
    <t>Extend Maaden procurement policies to the JV</t>
  </si>
  <si>
    <t>Request  personal protective equipment for relevant day-1 staff</t>
  </si>
  <si>
    <t>PPE procurement request</t>
  </si>
  <si>
    <t>Mohammed / Rene Thumbran</t>
  </si>
  <si>
    <t>Day-1 target date</t>
  </si>
  <si>
    <t>Define format/templates and develop final deliverables</t>
  </si>
  <si>
    <t>Validate final deliverables</t>
  </si>
  <si>
    <t>Auditing</t>
  </si>
  <si>
    <t>Raoof Madathil</t>
  </si>
  <si>
    <t>Finalize the Day-1 organization structure (confirm minimal technical staff requirements, including HSSE)</t>
  </si>
  <si>
    <t>Muddassar / Nuaim</t>
  </si>
  <si>
    <t>Karim Mehboob</t>
  </si>
  <si>
    <t>Implementation</t>
  </si>
  <si>
    <t>Implement systems (configuration, training, testing, deployment)</t>
  </si>
  <si>
    <t xml:space="preserve">Infrastructure </t>
  </si>
  <si>
    <t>Connectivity</t>
  </si>
  <si>
    <t>Set up network infrastructure and internet (switches, firewall, routers)</t>
  </si>
  <si>
    <t>Prepare and run cybersecurity training sessions with day-1 staff</t>
  </si>
  <si>
    <t>Cybersecurity training</t>
  </si>
  <si>
    <t>Systems training</t>
  </si>
  <si>
    <t>Systems requirements</t>
  </si>
  <si>
    <t>Ramesh / Alex</t>
  </si>
  <si>
    <t>Scoping and requirement documentation</t>
  </si>
  <si>
    <t>Work scope</t>
  </si>
  <si>
    <t>Grant relevant system access to end users</t>
  </si>
  <si>
    <t>System access granted to users</t>
  </si>
  <si>
    <t>Prepare and conduct workshop with Aramco IT to showcase Maaden systems capabilities and agree on IT strategy</t>
  </si>
  <si>
    <t>Trainings</t>
  </si>
  <si>
    <t>Communications</t>
  </si>
  <si>
    <t>Identify all systems needed for JV</t>
  </si>
  <si>
    <t>Faraj Al Dossary</t>
  </si>
  <si>
    <t>Draft 365 Day Implementation Plan</t>
  </si>
  <si>
    <t>Share the finalized Plan with Aramco for review. Collect feedback, incorporate agreed changes, and lock the final version for approval</t>
  </si>
  <si>
    <t>Draft JV Long-term Implementation Plan (key milestones)</t>
  </si>
  <si>
    <t>365-Day Implementation Plan</t>
  </si>
  <si>
    <t>5-year Implementation Plan</t>
  </si>
  <si>
    <t>Prepare material and obtain approval at Maaden Investment Committee meeting</t>
  </si>
  <si>
    <t>Prepare material and obtain approval at Maaden Excom meeting (Feb 17)</t>
  </si>
  <si>
    <t>Prepare material and obtain approval at BoD meeting (Mar 5)</t>
  </si>
  <si>
    <t>Maaden BoD</t>
  </si>
  <si>
    <t>Maaden IC</t>
  </si>
  <si>
    <t>Maaden ExCom</t>
  </si>
  <si>
    <t>Waiting for Aramco's TSA - reference</t>
  </si>
  <si>
    <t>Agree economic assumptions for technical studies (Schedule 16) - confirm applicability for Hard-Rock Exploration phase</t>
  </si>
  <si>
    <t>Muddassar / Hassen</t>
  </si>
  <si>
    <t xml:space="preserve">Aseel Alnafea </t>
  </si>
  <si>
    <t>Aseel Alnafea / Aramco Legal</t>
  </si>
  <si>
    <t>Mawiyah Alqaed</t>
  </si>
  <si>
    <t>Mawiyah Alqaed/Rene Thumbran?</t>
  </si>
  <si>
    <t>Board members nomination</t>
  </si>
  <si>
    <t>Both shareholders nominate board members</t>
  </si>
  <si>
    <t>Trade name reservation</t>
  </si>
  <si>
    <t>REQUIREMENTS BY OWNER</t>
  </si>
  <si>
    <t>Ramesh</t>
  </si>
  <si>
    <t>PROJECT CRYSTAL - JV DAY-1 READINESS PLAN</t>
  </si>
  <si>
    <t>Total</t>
  </si>
  <si>
    <t>Not started</t>
  </si>
  <si>
    <t xml:space="preserve">Muddassar / Nuaim / Aseel Alnafea </t>
  </si>
  <si>
    <t>Aseel Alnafea / Rene Thumbran</t>
  </si>
  <si>
    <t>Mawiyah Alqaed/Aramco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</si>
</sst>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8"/>
      <name val="Calibri"/>
      <family val="2"/>
      <scheme val="minor"/>
    </font>
    <font>
      <sz val="11"/>
      <color theme="1"/>
      <name val="DIN Next LT Arabic"/>
      <family val="2"/>
    </font>
    <font>
      <b/>
      <sz val="14"/>
      <name val="DIN Next LT Arabic"/>
      <family val="2"/>
    </font>
    <font>
      <b/>
      <sz val="11"/>
      <color theme="0"/>
      <name val="DIN Next LT Arabic"/>
      <family val="2"/>
    </font>
    <font>
      <sz val="11"/>
      <color theme="1"/>
      <name val="Calibri"/>
      <family val="2"/>
      <scheme val="minor"/>
    </font>
    <font>
      <sz val="18"/>
      <color theme="1"/>
      <name val="Calibri"/>
      <family val="2"/>
      <scheme val="minor"/>
    </font>
    <font>
      <sz val="18"/>
      <color theme="1"/>
      <name val="DIN Next LT Arabic"/>
      <family val="2"/>
    </font>
    <font>
      <b/>
      <sz val="18"/>
      <color theme="1"/>
      <name val="DIN Next LT Arabic"/>
      <family val="2"/>
    </font>
    <font>
      <sz val="11"/>
      <name val="Calibri"/>
      <family val="2"/>
      <scheme val="minor"/>
    </font>
    <font>
      <b/>
      <sz val="11"/>
      <color theme="1"/>
      <name val="Calibri"/>
      <family val="2"/>
      <scheme val="minor"/>
    </font>
    <font>
      <b/>
      <sz val="11"/>
      <color theme="0"/>
      <name val="Calibri"/>
      <family val="2"/>
      <scheme val="minor"/>
    </font>
    <font>
      <b/>
      <sz val="11"/>
      <color rgb="FFFFFFFF"/>
      <name val="Calibri"/>
      <family val="2"/>
      <scheme val="minor"/>
    </font>
    <font>
      <i/>
      <sz val="11"/>
      <color theme="1"/>
      <name val="DIN Next LT Arabic"/>
      <family val="2"/>
    </font>
    <font>
      <i/>
      <sz val="11"/>
      <color theme="5"/>
      <name val="DIN Next LT Arabic"/>
      <family val="2"/>
    </font>
    <font>
      <b/>
      <sz val="11"/>
      <color theme="1"/>
      <name val="DIN Next LT Arabic"/>
      <family val="2"/>
    </font>
    <font>
      <sz val="11"/>
      <color theme="6" tint="-0.499984740745262"/>
      <name val="DIN Next LT Arabic"/>
      <family val="2"/>
    </font>
    <font>
      <sz val="11"/>
      <color theme="3"/>
      <name val="DIN Next LT Arabic"/>
      <family val="2"/>
    </font>
    <font>
      <sz val="11"/>
      <color theme="5" tint="-0.499984740745262"/>
      <name val="DIN Next LT Arabic"/>
      <family val="2"/>
    </font>
    <font>
      <sz val="11"/>
      <color theme="0"/>
      <name val="DIN Next LT Arabic"/>
      <family val="2"/>
    </font>
  </fonts>
  <fills count="1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34998626667073579"/>
        <bgColor rgb="FF1F4E79"/>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2" tint="-0.749992370372631"/>
        <bgColor indexed="64"/>
      </patternFill>
    </fill>
    <fill>
      <patternFill patternType="solid">
        <fgColor theme="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indexed="64"/>
      </top>
      <bottom/>
      <diagonal/>
    </border>
    <border>
      <left style="thin">
        <color auto="1"/>
      </left>
      <right style="thin">
        <color auto="1"/>
      </right>
      <top/>
      <bottom/>
      <diagonal/>
    </border>
    <border>
      <left/>
      <right/>
      <top style="thin">
        <color indexed="64"/>
      </top>
      <bottom style="thin">
        <color indexed="64"/>
      </bottom>
      <diagonal/>
    </border>
    <border>
      <left style="thin">
        <color auto="1"/>
      </left>
      <right/>
      <top style="thin">
        <color auto="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s>
  <cellStyleXfs count="2">
    <xf numFmtId="0" fontId="0" fillId="0" borderId="0"/>
    <xf numFmtId="9" fontId="5" fillId="0" borderId="0" applyFont="0" applyFill="0" applyBorder="0" applyAlignment="0" applyProtection="0"/>
  </cellStyleXfs>
  <cellXfs count="96">
    <xf numFmtId="0" fontId="0" fillId="0" borderId="0" xfId="0"/>
    <xf numFmtId="0" fontId="2" fillId="0" borderId="0" xfId="0" applyFont="1"/>
    <xf numFmtId="0" fontId="0" fillId="3" borderId="0" xfId="0" applyFill="1"/>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left"/>
    </xf>
    <xf numFmtId="0" fontId="6" fillId="0" borderId="0" xfId="0" applyFont="1"/>
    <xf numFmtId="0" fontId="7" fillId="0" borderId="0" xfId="0" applyFont="1"/>
    <xf numFmtId="0" fontId="8" fillId="0" borderId="0" xfId="0" applyFont="1"/>
    <xf numFmtId="0" fontId="8" fillId="0" borderId="0" xfId="0" applyFont="1" applyAlignment="1">
      <alignment vertical="top"/>
    </xf>
    <xf numFmtId="17" fontId="7" fillId="0" borderId="0" xfId="0" applyNumberFormat="1" applyFont="1" applyAlignment="1">
      <alignment horizontal="left"/>
    </xf>
    <xf numFmtId="9" fontId="0" fillId="0" borderId="0" xfId="0" applyNumberFormat="1"/>
    <xf numFmtId="0" fontId="9" fillId="0" borderId="1" xfId="0" applyFont="1" applyBorder="1" applyAlignment="1">
      <alignment vertical="center" wrapText="1"/>
    </xf>
    <xf numFmtId="0" fontId="0" fillId="0" borderId="1" xfId="0" applyBorder="1" applyAlignment="1">
      <alignment vertical="center" wrapText="1"/>
    </xf>
    <xf numFmtId="0" fontId="0" fillId="0" borderId="3" xfId="0" applyBorder="1" applyAlignment="1">
      <alignment vertical="center" wrapText="1"/>
    </xf>
    <xf numFmtId="0" fontId="9" fillId="0" borderId="3" xfId="0" applyFont="1" applyBorder="1" applyAlignment="1">
      <alignment vertical="center" wrapText="1"/>
    </xf>
    <xf numFmtId="1" fontId="0" fillId="0" borderId="0" xfId="0" applyNumberFormat="1" applyAlignment="1">
      <alignment horizontal="center"/>
    </xf>
    <xf numFmtId="0" fontId="0" fillId="5" borderId="1" xfId="0" applyFill="1" applyBorder="1" applyAlignment="1">
      <alignment vertical="center" wrapText="1"/>
    </xf>
    <xf numFmtId="0" fontId="0" fillId="5" borderId="3" xfId="0" applyFill="1" applyBorder="1" applyAlignment="1">
      <alignment vertical="center" wrapText="1"/>
    </xf>
    <xf numFmtId="0" fontId="0" fillId="0" borderId="2" xfId="0" applyBorder="1" applyAlignment="1">
      <alignment vertical="center" wrapText="1"/>
    </xf>
    <xf numFmtId="0" fontId="0" fillId="2" borderId="1" xfId="0" applyFill="1" applyBorder="1" applyAlignment="1">
      <alignment vertical="center" wrapText="1"/>
    </xf>
    <xf numFmtId="0" fontId="0" fillId="0" borderId="1" xfId="0" applyBorder="1" applyAlignment="1">
      <alignment vertical="center"/>
    </xf>
    <xf numFmtId="0" fontId="0" fillId="0" borderId="4" xfId="0" applyBorder="1" applyAlignment="1">
      <alignment vertical="center" wrapText="1"/>
    </xf>
    <xf numFmtId="0" fontId="0" fillId="5" borderId="2" xfId="0" applyFill="1" applyBorder="1" applyAlignment="1">
      <alignment vertical="center" wrapText="1"/>
    </xf>
    <xf numFmtId="0" fontId="12" fillId="7"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0" fillId="0" borderId="2" xfId="0" applyBorder="1" applyAlignment="1">
      <alignment vertical="center"/>
    </xf>
    <xf numFmtId="16" fontId="0" fillId="0" borderId="2" xfId="0" applyNumberFormat="1" applyBorder="1" applyAlignment="1">
      <alignment horizontal="center" vertical="center"/>
    </xf>
    <xf numFmtId="1" fontId="0" fillId="0" borderId="2" xfId="0" applyNumberFormat="1" applyBorder="1" applyAlignment="1">
      <alignment horizontal="center" vertical="center"/>
    </xf>
    <xf numFmtId="16" fontId="0" fillId="6" borderId="2" xfId="0" applyNumberFormat="1" applyFill="1" applyBorder="1" applyAlignment="1">
      <alignment horizontal="center" vertical="center"/>
    </xf>
    <xf numFmtId="0" fontId="0" fillId="6" borderId="2" xfId="0" applyFill="1" applyBorder="1" applyAlignment="1">
      <alignment vertical="center" wrapText="1"/>
    </xf>
    <xf numFmtId="16" fontId="0" fillId="6" borderId="1" xfId="0" applyNumberFormat="1" applyFill="1" applyBorder="1" applyAlignment="1">
      <alignment horizontal="center" vertical="center"/>
    </xf>
    <xf numFmtId="1" fontId="0" fillId="0" borderId="1" xfId="0" applyNumberFormat="1" applyBorder="1" applyAlignment="1">
      <alignment horizontal="center" vertical="center"/>
    </xf>
    <xf numFmtId="0" fontId="0" fillId="6" borderId="1" xfId="0" applyFill="1" applyBorder="1" applyAlignment="1">
      <alignment vertical="center" wrapText="1"/>
    </xf>
    <xf numFmtId="16" fontId="0" fillId="6" borderId="3" xfId="0" applyNumberFormat="1" applyFill="1" applyBorder="1" applyAlignment="1">
      <alignment horizontal="center" vertical="center"/>
    </xf>
    <xf numFmtId="1" fontId="0" fillId="0" borderId="3" xfId="0" applyNumberFormat="1" applyBorder="1" applyAlignment="1">
      <alignment horizontal="center" vertical="center"/>
    </xf>
    <xf numFmtId="16" fontId="0" fillId="5" borderId="2" xfId="0" applyNumberFormat="1" applyFill="1" applyBorder="1" applyAlignment="1">
      <alignment horizontal="center" vertical="center"/>
    </xf>
    <xf numFmtId="16" fontId="0" fillId="5" borderId="1" xfId="0" applyNumberFormat="1" applyFill="1" applyBorder="1" applyAlignment="1">
      <alignment horizontal="center" vertical="center"/>
    </xf>
    <xf numFmtId="1" fontId="0" fillId="5" borderId="1" xfId="0" applyNumberFormat="1" applyFill="1" applyBorder="1" applyAlignment="1">
      <alignment horizontal="center" vertical="center"/>
    </xf>
    <xf numFmtId="1" fontId="0" fillId="5" borderId="2" xfId="0" applyNumberFormat="1" applyFill="1" applyBorder="1" applyAlignment="1">
      <alignment horizontal="center" vertical="center"/>
    </xf>
    <xf numFmtId="1" fontId="0" fillId="5" borderId="3" xfId="0" applyNumberFormat="1" applyFill="1" applyBorder="1" applyAlignment="1">
      <alignment horizontal="center" vertical="center"/>
    </xf>
    <xf numFmtId="16" fontId="0" fillId="0" borderId="4" xfId="0" applyNumberFormat="1" applyBorder="1" applyAlignment="1">
      <alignment horizontal="center" vertical="center"/>
    </xf>
    <xf numFmtId="16" fontId="0" fillId="0" borderId="3" xfId="0" applyNumberFormat="1" applyBorder="1" applyAlignment="1">
      <alignment horizontal="center" vertical="center"/>
    </xf>
    <xf numFmtId="16" fontId="0" fillId="0" borderId="1" xfId="0" applyNumberFormat="1" applyBorder="1" applyAlignment="1">
      <alignment horizontal="center" vertical="center"/>
    </xf>
    <xf numFmtId="0" fontId="0" fillId="5" borderId="1" xfId="0" applyFill="1" applyBorder="1" applyAlignment="1">
      <alignment vertical="top" wrapText="1"/>
    </xf>
    <xf numFmtId="10" fontId="0" fillId="4" borderId="1" xfId="1" applyNumberFormat="1" applyFont="1" applyFill="1" applyBorder="1" applyAlignment="1">
      <alignment vertical="center"/>
    </xf>
    <xf numFmtId="0" fontId="0" fillId="0" borderId="1" xfId="0" applyBorder="1" applyAlignment="1">
      <alignment horizontal="left" vertical="center" wrapText="1"/>
    </xf>
    <xf numFmtId="16" fontId="0" fillId="2" borderId="1" xfId="0" applyNumberFormat="1" applyFill="1" applyBorder="1" applyAlignment="1">
      <alignment horizontal="center" vertical="center"/>
    </xf>
    <xf numFmtId="0" fontId="0" fillId="8" borderId="3" xfId="0" applyFill="1" applyBorder="1" applyAlignment="1">
      <alignment vertical="center"/>
    </xf>
    <xf numFmtId="0" fontId="0" fillId="8" borderId="1" xfId="0" applyFill="1" applyBorder="1" applyAlignment="1">
      <alignment vertical="center"/>
    </xf>
    <xf numFmtId="0" fontId="0" fillId="8" borderId="2" xfId="0" applyFill="1" applyBorder="1" applyAlignment="1">
      <alignment vertical="center"/>
    </xf>
    <xf numFmtId="0" fontId="9" fillId="8" borderId="2" xfId="0" applyFont="1" applyFill="1" applyBorder="1" applyAlignment="1">
      <alignment vertical="center" wrapText="1"/>
    </xf>
    <xf numFmtId="0" fontId="9" fillId="8" borderId="1" xfId="0" applyFont="1" applyFill="1" applyBorder="1" applyAlignment="1">
      <alignment vertical="center" wrapText="1"/>
    </xf>
    <xf numFmtId="0" fontId="13" fillId="0" borderId="0" xfId="0" applyFont="1" applyAlignment="1">
      <alignment horizontal="right"/>
    </xf>
    <xf numFmtId="16" fontId="14" fillId="0" borderId="0" xfId="0" applyNumberFormat="1" applyFont="1" applyAlignment="1">
      <alignment horizontal="left"/>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5" borderId="2" xfId="0" applyFill="1" applyBorder="1" applyAlignment="1">
      <alignment horizontal="center" vertical="center" wrapText="1"/>
    </xf>
    <xf numFmtId="0" fontId="0" fillId="5" borderId="1" xfId="0" applyFill="1" applyBorder="1" applyAlignment="1">
      <alignment horizontal="center" vertical="center" wrapText="1"/>
    </xf>
    <xf numFmtId="0" fontId="0" fillId="0" borderId="3" xfId="0"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left" vertical="center"/>
    </xf>
    <xf numFmtId="0" fontId="10" fillId="4" borderId="5" xfId="0" applyFont="1" applyFill="1" applyBorder="1" applyAlignment="1">
      <alignment vertical="center"/>
    </xf>
    <xf numFmtId="0" fontId="10" fillId="4" borderId="5" xfId="0" applyFont="1" applyFill="1" applyBorder="1" applyAlignment="1">
      <alignment vertical="center" wrapText="1"/>
    </xf>
    <xf numFmtId="0" fontId="10" fillId="4" borderId="5" xfId="0" applyFont="1" applyFill="1" applyBorder="1" applyAlignment="1">
      <alignment horizontal="center" vertical="center" wrapText="1"/>
    </xf>
    <xf numFmtId="16" fontId="10" fillId="4" borderId="5" xfId="0" applyNumberFormat="1" applyFont="1" applyFill="1" applyBorder="1" applyAlignment="1">
      <alignment horizontal="center" vertical="center"/>
    </xf>
    <xf numFmtId="1" fontId="10" fillId="4" borderId="5" xfId="0" applyNumberFormat="1" applyFont="1" applyFill="1" applyBorder="1" applyAlignment="1">
      <alignment horizontal="center" vertical="center"/>
    </xf>
    <xf numFmtId="9" fontId="10" fillId="4" borderId="5" xfId="1" applyFont="1" applyFill="1" applyBorder="1" applyAlignment="1">
      <alignment horizontal="center" vertical="center"/>
    </xf>
    <xf numFmtId="0" fontId="0" fillId="4" borderId="0" xfId="0" applyFill="1"/>
    <xf numFmtId="0" fontId="10" fillId="4" borderId="0" xfId="0" applyFont="1" applyFill="1" applyAlignment="1">
      <alignment vertical="center"/>
    </xf>
    <xf numFmtId="0" fontId="10" fillId="4" borderId="0" xfId="0" applyFont="1" applyFill="1" applyAlignment="1">
      <alignment vertical="center" wrapText="1"/>
    </xf>
    <xf numFmtId="0" fontId="10" fillId="4" borderId="0" xfId="0" applyFont="1" applyFill="1" applyAlignment="1">
      <alignment horizontal="center" vertical="center" wrapText="1"/>
    </xf>
    <xf numFmtId="16" fontId="10" fillId="4" borderId="0" xfId="0" applyNumberFormat="1" applyFont="1" applyFill="1" applyAlignment="1">
      <alignment horizontal="center" vertical="center"/>
    </xf>
    <xf numFmtId="1" fontId="10" fillId="4" borderId="0" xfId="0" applyNumberFormat="1" applyFont="1" applyFill="1" applyAlignment="1">
      <alignment horizontal="center" vertical="center"/>
    </xf>
    <xf numFmtId="9" fontId="10" fillId="4" borderId="0" xfId="1" applyFont="1" applyFill="1" applyBorder="1" applyAlignment="1">
      <alignment horizontal="center" vertical="center"/>
    </xf>
    <xf numFmtId="9" fontId="10" fillId="4" borderId="2" xfId="1" applyFont="1" applyFill="1" applyBorder="1" applyAlignment="1">
      <alignment horizontal="center" vertical="center"/>
    </xf>
    <xf numFmtId="9" fontId="10" fillId="4" borderId="1" xfId="1" applyFont="1" applyFill="1" applyBorder="1" applyAlignment="1">
      <alignment horizontal="center" vertical="center"/>
    </xf>
    <xf numFmtId="9" fontId="10" fillId="4" borderId="3" xfId="1" applyFont="1" applyFill="1" applyBorder="1" applyAlignment="1">
      <alignment horizontal="center" vertical="center"/>
    </xf>
    <xf numFmtId="0" fontId="2" fillId="6" borderId="7" xfId="0" applyFont="1" applyFill="1" applyBorder="1" applyAlignment="1">
      <alignment horizontal="center"/>
    </xf>
    <xf numFmtId="0" fontId="16" fillId="8" borderId="7" xfId="0" applyFont="1" applyFill="1" applyBorder="1" applyAlignment="1">
      <alignment horizontal="center"/>
    </xf>
    <xf numFmtId="0" fontId="17" fillId="9" borderId="7" xfId="0" applyFont="1" applyFill="1" applyBorder="1" applyAlignment="1">
      <alignment horizontal="center"/>
    </xf>
    <xf numFmtId="0" fontId="18" fillId="11" borderId="7" xfId="0" applyFont="1" applyFill="1" applyBorder="1" applyAlignment="1">
      <alignment horizontal="center"/>
    </xf>
    <xf numFmtId="0" fontId="15" fillId="13" borderId="7" xfId="0" applyFont="1" applyFill="1" applyBorder="1" applyAlignment="1">
      <alignment vertical="center"/>
    </xf>
    <xf numFmtId="0" fontId="4" fillId="12" borderId="8" xfId="0" applyFont="1" applyFill="1" applyBorder="1"/>
    <xf numFmtId="0" fontId="4" fillId="12" borderId="9" xfId="0" applyFont="1" applyFill="1" applyBorder="1" applyAlignment="1">
      <alignment horizontal="center"/>
    </xf>
    <xf numFmtId="0" fontId="15" fillId="10" borderId="7" xfId="0" applyFont="1" applyFill="1" applyBorder="1"/>
    <xf numFmtId="0" fontId="15" fillId="10" borderId="7" xfId="0" applyFont="1" applyFill="1" applyBorder="1" applyAlignment="1">
      <alignment horizontal="center"/>
    </xf>
    <xf numFmtId="0" fontId="19" fillId="12" borderId="9" xfId="0" applyFont="1" applyFill="1" applyBorder="1" applyAlignment="1">
      <alignment horizontal="center"/>
    </xf>
    <xf numFmtId="0" fontId="15" fillId="13" borderId="7" xfId="0" applyFont="1" applyFill="1" applyBorder="1" applyAlignment="1">
      <alignment horizontal="center" vertical="center"/>
    </xf>
    <xf numFmtId="0" fontId="2" fillId="0" borderId="7" xfId="0" applyFont="1" applyBorder="1" applyAlignment="1">
      <alignment horizontal="center" vertical="center"/>
    </xf>
  </cellXfs>
  <cellStyles count="2">
    <cellStyle name="Normal" xfId="0" builtinId="0"/>
    <cellStyle name="Percent" xfId="1" builtinId="5"/>
  </cellStyles>
  <dxfs count="3">
    <dxf>
      <font>
        <color theme="3"/>
      </font>
      <fill>
        <patternFill>
          <bgColor theme="4" tint="0.79998168889431442"/>
        </patternFill>
      </fill>
    </dxf>
    <dxf>
      <font>
        <color theme="6" tint="-0.499984740745262"/>
      </font>
      <fill>
        <patternFill>
          <bgColor theme="6" tint="0.79998168889431442"/>
        </patternFill>
      </fill>
    </dxf>
    <dxf>
      <font>
        <color theme="5" tint="-0.499984740745262"/>
      </font>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852218</xdr:colOff>
      <xdr:row>3</xdr:row>
      <xdr:rowOff>3318</xdr:rowOff>
    </xdr:from>
    <xdr:to>
      <xdr:col>3</xdr:col>
      <xdr:colOff>2889282</xdr:colOff>
      <xdr:row>4</xdr:row>
      <xdr:rowOff>335412</xdr:rowOff>
    </xdr:to>
    <xdr:pic>
      <xdr:nvPicPr>
        <xdr:cNvPr id="3" name="Picture 2">
          <a:extLst>
            <a:ext uri="{FF2B5EF4-FFF2-40B4-BE49-F238E27FC236}">
              <a16:creationId xmlns:a16="http://schemas.microsoft.com/office/drawing/2014/main" id="{76CEF514-254A-4EF1-83D6-8C53B310694E}"/>
            </a:ext>
          </a:extLst>
        </xdr:cNvPr>
        <xdr:cNvPicPr>
          <a:picLocks noChangeAspect="1"/>
        </xdr:cNvPicPr>
      </xdr:nvPicPr>
      <xdr:blipFill>
        <a:blip xmlns:r="http://schemas.openxmlformats.org/officeDocument/2006/relationships" r:embed="rId1"/>
        <a:stretch>
          <a:fillRect/>
        </a:stretch>
      </xdr:blipFill>
      <xdr:spPr>
        <a:xfrm>
          <a:off x="1488322" y="696218"/>
          <a:ext cx="4174830" cy="797813"/>
        </a:xfrm>
        <a:prstGeom prst="rect">
          <a:avLst/>
        </a:prstGeom>
      </xdr:spPr>
    </xdr:pic>
    <xdr:clientData/>
  </xdr:twoCellAnchor>
  <xdr:twoCellAnchor>
    <xdr:from>
      <xdr:col>0</xdr:col>
      <xdr:colOff>452904</xdr:colOff>
      <xdr:row>1</xdr:row>
      <xdr:rowOff>97273</xdr:rowOff>
    </xdr:from>
    <xdr:to>
      <xdr:col>11</xdr:col>
      <xdr:colOff>182096</xdr:colOff>
      <xdr:row>11</xdr:row>
      <xdr:rowOff>78597</xdr:rowOff>
    </xdr:to>
    <xdr:sp macro="" textlink="">
      <xdr:nvSpPr>
        <xdr:cNvPr id="4" name="Rectangle 3">
          <a:extLst>
            <a:ext uri="{FF2B5EF4-FFF2-40B4-BE49-F238E27FC236}">
              <a16:creationId xmlns:a16="http://schemas.microsoft.com/office/drawing/2014/main" id="{6975B7DA-9639-466E-954E-D53EAA1F51F5}"/>
            </a:ext>
          </a:extLst>
        </xdr:cNvPr>
        <xdr:cNvSpPr/>
      </xdr:nvSpPr>
      <xdr:spPr>
        <a:xfrm>
          <a:off x="452904" y="282481"/>
          <a:ext cx="11794192" cy="2494866"/>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144347</xdr:colOff>
      <xdr:row>2</xdr:row>
      <xdr:rowOff>188411</xdr:rowOff>
    </xdr:from>
    <xdr:to>
      <xdr:col>10</xdr:col>
      <xdr:colOff>468138</xdr:colOff>
      <xdr:row>5</xdr:row>
      <xdr:rowOff>71860</xdr:rowOff>
    </xdr:to>
    <xdr:pic>
      <xdr:nvPicPr>
        <xdr:cNvPr id="5" name="Picture 4" descr="CVA - Corporate Value Associates">
          <a:extLst>
            <a:ext uri="{FF2B5EF4-FFF2-40B4-BE49-F238E27FC236}">
              <a16:creationId xmlns:a16="http://schemas.microsoft.com/office/drawing/2014/main" id="{9BDB1509-20F3-7413-DCF5-9ED0982A35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934588" y="574617"/>
          <a:ext cx="2232105" cy="1042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893CDC6-F770-49E2-8532-7686A505E8D8}"/>
</namedSheetView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5CB4-78B9-44DF-96AC-C42691EEB60C}">
  <dimension ref="B3:P30"/>
  <sheetViews>
    <sheetView showGridLines="0" zoomScale="70" zoomScaleNormal="70" workbookViewId="0">
      <selection activeCell="D21" sqref="D21"/>
    </sheetView>
  </sheetViews>
  <sheetFormatPr defaultRowHeight="15.05" x14ac:dyDescent="0.3"/>
  <cols>
    <col min="2" max="2" width="5.6640625" customWidth="1"/>
    <col min="3" max="3" width="17.77734375" bestFit="1" customWidth="1"/>
    <col min="4" max="4" width="112.21875" customWidth="1"/>
  </cols>
  <sheetData>
    <row r="3" spans="2:12" ht="23.8" x14ac:dyDescent="0.45">
      <c r="B3" s="6"/>
      <c r="C3" s="6"/>
      <c r="D3" s="6"/>
      <c r="E3" s="6"/>
      <c r="F3" s="6"/>
      <c r="G3" s="6"/>
      <c r="H3" s="6"/>
      <c r="I3" s="6"/>
      <c r="J3" s="6"/>
      <c r="K3" s="6"/>
      <c r="L3" s="6"/>
    </row>
    <row r="4" spans="2:12" ht="36.5" customHeight="1" x14ac:dyDescent="0.45">
      <c r="B4" s="6"/>
      <c r="C4" s="6"/>
      <c r="D4" s="6"/>
      <c r="E4" s="6"/>
      <c r="F4" s="6"/>
      <c r="G4" s="6"/>
      <c r="H4" s="6"/>
      <c r="I4" s="6"/>
      <c r="J4" s="6"/>
      <c r="K4" s="6"/>
      <c r="L4" s="6"/>
    </row>
    <row r="5" spans="2:12" ht="30.4" customHeight="1" x14ac:dyDescent="0.45">
      <c r="B5" s="6"/>
      <c r="C5" s="6"/>
      <c r="D5" s="6"/>
      <c r="E5" s="6"/>
      <c r="F5" s="6"/>
      <c r="G5" s="6"/>
      <c r="H5" s="6"/>
      <c r="I5" s="6"/>
      <c r="J5" s="6"/>
      <c r="K5" s="6"/>
      <c r="L5" s="6"/>
    </row>
    <row r="6" spans="2:12" ht="40.1" x14ac:dyDescent="1.2">
      <c r="B6" s="6"/>
      <c r="C6" s="7"/>
      <c r="D6" s="7"/>
      <c r="E6" s="6"/>
      <c r="F6" s="6"/>
      <c r="G6" s="6"/>
      <c r="H6" s="6"/>
      <c r="I6" s="6"/>
      <c r="J6" s="6"/>
      <c r="K6" s="6"/>
      <c r="L6" s="6"/>
    </row>
    <row r="7" spans="2:12" ht="40.700000000000003" x14ac:dyDescent="1.25">
      <c r="B7" s="6"/>
      <c r="C7" s="8" t="s">
        <v>79</v>
      </c>
      <c r="D7" s="7" t="s">
        <v>81</v>
      </c>
      <c r="E7" s="6"/>
      <c r="F7" s="6"/>
      <c r="G7" s="6"/>
      <c r="H7" s="6"/>
      <c r="I7" s="6"/>
      <c r="J7" s="6"/>
      <c r="K7" s="6"/>
      <c r="L7" s="6"/>
    </row>
    <row r="8" spans="2:12" ht="40.1" x14ac:dyDescent="1.2">
      <c r="B8" s="6"/>
      <c r="C8" s="7"/>
      <c r="D8" s="7"/>
      <c r="E8" s="6"/>
      <c r="F8" s="6"/>
      <c r="G8" s="6"/>
      <c r="H8" s="6"/>
      <c r="I8" s="6"/>
      <c r="J8" s="6"/>
      <c r="K8" s="6"/>
      <c r="L8" s="6"/>
    </row>
    <row r="9" spans="2:12" ht="40.700000000000003" x14ac:dyDescent="1.2">
      <c r="B9" s="6"/>
      <c r="C9" s="9" t="s">
        <v>2</v>
      </c>
      <c r="D9" s="7" t="s">
        <v>94</v>
      </c>
      <c r="E9" s="6"/>
      <c r="F9" s="6"/>
      <c r="G9" s="6"/>
      <c r="H9" s="6"/>
      <c r="I9" s="6"/>
      <c r="J9" s="6"/>
      <c r="K9" s="6"/>
      <c r="L9" s="6"/>
    </row>
    <row r="10" spans="2:12" ht="40.1" x14ac:dyDescent="1.2">
      <c r="B10" s="6"/>
      <c r="C10" s="7"/>
      <c r="D10" s="7"/>
      <c r="E10" s="6"/>
      <c r="F10" s="6"/>
      <c r="G10" s="6"/>
      <c r="H10" s="6"/>
      <c r="I10" s="6"/>
      <c r="J10" s="6"/>
      <c r="K10" s="6"/>
      <c r="L10" s="6"/>
    </row>
    <row r="11" spans="2:12" ht="40.700000000000003" x14ac:dyDescent="1.25">
      <c r="B11" s="6"/>
      <c r="C11" s="8" t="s">
        <v>80</v>
      </c>
      <c r="D11" s="10">
        <f ca="1">TODAY()</f>
        <v>46077</v>
      </c>
      <c r="E11" s="6"/>
      <c r="F11" s="6"/>
      <c r="G11" s="6"/>
      <c r="H11" s="6"/>
      <c r="I11" s="6"/>
      <c r="J11" s="6"/>
      <c r="K11" s="6"/>
      <c r="L11" s="6"/>
    </row>
    <row r="12" spans="2:12" ht="23.8" x14ac:dyDescent="0.45">
      <c r="B12" s="6"/>
      <c r="C12" s="6"/>
      <c r="D12" s="6"/>
      <c r="E12" s="6"/>
      <c r="F12" s="6"/>
      <c r="G12" s="6"/>
      <c r="H12" s="6"/>
      <c r="I12" s="6"/>
      <c r="J12" s="6"/>
      <c r="K12" s="6"/>
      <c r="L12" s="6"/>
    </row>
    <row r="30" spans="16:16" x14ac:dyDescent="0.3">
      <c r="P30"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C23D-AA61-44B6-B1D4-141588E7DA10}">
  <dimension ref="B2:N29"/>
  <sheetViews>
    <sheetView showGridLines="0" zoomScale="80" zoomScaleNormal="80" workbookViewId="0">
      <selection activeCell="D1" sqref="D1:D1048576"/>
    </sheetView>
  </sheetViews>
  <sheetFormatPr defaultRowHeight="15.05" x14ac:dyDescent="0.3"/>
  <cols>
    <col min="1" max="1" width="3.109375" customWidth="1"/>
    <col min="2" max="2" width="32.33203125" customWidth="1"/>
    <col min="3" max="7" width="10.77734375" customWidth="1"/>
    <col min="8" max="8" width="9.109375" customWidth="1"/>
    <col min="9" max="9" width="32.109375" customWidth="1"/>
    <col min="10" max="13" width="10.77734375" style="4" customWidth="1"/>
    <col min="14" max="14" width="10.77734375" customWidth="1"/>
  </cols>
  <sheetData>
    <row r="2" spans="2:14" ht="26.3" x14ac:dyDescent="0.85">
      <c r="B2" s="89" t="s">
        <v>345</v>
      </c>
      <c r="C2" s="90">
        <f>SUM(C4:C29)</f>
        <v>112</v>
      </c>
      <c r="D2" s="93">
        <f>SUM(D4:D29)</f>
        <v>89</v>
      </c>
      <c r="E2" s="93">
        <f>SUM(E4:E29)</f>
        <v>19</v>
      </c>
      <c r="F2" s="93">
        <f>SUM(F4:F29)</f>
        <v>4</v>
      </c>
      <c r="G2" s="93">
        <f>SUM(G4:G29)</f>
        <v>0</v>
      </c>
      <c r="I2" s="89" t="s">
        <v>186</v>
      </c>
      <c r="J2" s="90">
        <f>SUM(J4:J13)</f>
        <v>116</v>
      </c>
      <c r="K2" s="93">
        <f>SUM(K4:K13)</f>
        <v>93</v>
      </c>
      <c r="L2" s="93">
        <f>SUM(L4:L13)</f>
        <v>19</v>
      </c>
      <c r="M2" s="93">
        <f>SUM(M4:M13)</f>
        <v>4</v>
      </c>
      <c r="N2" s="93">
        <f>SUM(N4:N13)</f>
        <v>0</v>
      </c>
    </row>
    <row r="3" spans="2:14" ht="26.3" x14ac:dyDescent="0.85">
      <c r="B3" s="91" t="s">
        <v>75</v>
      </c>
      <c r="C3" s="92" t="s">
        <v>348</v>
      </c>
      <c r="D3" s="84" t="s">
        <v>349</v>
      </c>
      <c r="E3" s="85" t="s">
        <v>73</v>
      </c>
      <c r="F3" s="86" t="s">
        <v>74</v>
      </c>
      <c r="G3" s="87" t="s">
        <v>72</v>
      </c>
      <c r="I3" s="91" t="s">
        <v>84</v>
      </c>
      <c r="J3" s="92" t="s">
        <v>348</v>
      </c>
      <c r="K3" s="84" t="s">
        <v>349</v>
      </c>
      <c r="L3" s="85" t="s">
        <v>73</v>
      </c>
      <c r="M3" s="86" t="s">
        <v>74</v>
      </c>
      <c r="N3" s="87" t="s">
        <v>72</v>
      </c>
    </row>
    <row r="4" spans="2:14" s="57" customFormat="1" ht="21.3" customHeight="1" x14ac:dyDescent="0.3">
      <c r="B4" s="88" t="s">
        <v>338</v>
      </c>
      <c r="C4" s="94">
        <f>SUM(D4:G4)</f>
        <v>19</v>
      </c>
      <c r="D4" s="95">
        <f>(COUNTIFS('JV Readiness Plan'!$E:$E,$B4,'JV Readiness Plan'!$F:$F,D$3))</f>
        <v>19</v>
      </c>
      <c r="E4" s="95">
        <f>(COUNTIFS('JV Readiness Plan'!$E:$E,$B4,'JV Readiness Plan'!$F:$F,E$3))</f>
        <v>0</v>
      </c>
      <c r="F4" s="95">
        <f>(COUNTIFS('JV Readiness Plan'!$E:$E,$B4,'JV Readiness Plan'!$F:$F,F$3))</f>
        <v>0</v>
      </c>
      <c r="G4" s="95">
        <f>(COUNTIFS('JV Readiness Plan'!$E:$E,$B4,'JV Readiness Plan'!$F:$F,G$3))</f>
        <v>0</v>
      </c>
      <c r="I4" s="88" t="s">
        <v>88</v>
      </c>
      <c r="J4" s="94">
        <f>SUM(K4:N4)</f>
        <v>46</v>
      </c>
      <c r="K4" s="95">
        <f>(COUNTIFS('JV Readiness Plan'!$A:$A,$I4,'JV Readiness Plan'!$F:$F,K$3))</f>
        <v>24</v>
      </c>
      <c r="L4" s="95">
        <f>(COUNTIFS('JV Readiness Plan'!$A:$A,$I4,'JV Readiness Plan'!$F:$F,L$3))</f>
        <v>18</v>
      </c>
      <c r="M4" s="95">
        <f>(COUNTIFS('JV Readiness Plan'!$A:$A,$I4,'JV Readiness Plan'!$F:$F,M$3))</f>
        <v>4</v>
      </c>
      <c r="N4" s="95">
        <f>(COUNTIFS('JV Readiness Plan'!$A:$A,$I4,'JV Readiness Plan'!$F:$F,N$3))</f>
        <v>0</v>
      </c>
    </row>
    <row r="5" spans="2:14" s="57" customFormat="1" ht="21.3" customHeight="1" x14ac:dyDescent="0.3">
      <c r="B5" s="88" t="s">
        <v>137</v>
      </c>
      <c r="C5" s="94">
        <f t="shared" ref="C5:C29" si="0">SUM(D5:G5)</f>
        <v>14</v>
      </c>
      <c r="D5" s="95">
        <f>(COUNTIFS('JV Readiness Plan'!$E:$E,$B5,'JV Readiness Plan'!$F:$F,D$3))</f>
        <v>5</v>
      </c>
      <c r="E5" s="95">
        <f>(COUNTIFS('JV Readiness Plan'!$E:$E,$B5,'JV Readiness Plan'!$F:$F,E$3))</f>
        <v>7</v>
      </c>
      <c r="F5" s="95">
        <f>(COUNTIFS('JV Readiness Plan'!$E:$E,$B5,'JV Readiness Plan'!$F:$F,F$3))</f>
        <v>2</v>
      </c>
      <c r="G5" s="95">
        <f>(COUNTIFS('JV Readiness Plan'!$E:$E,$B5,'JV Readiness Plan'!$F:$F,G$3))</f>
        <v>0</v>
      </c>
      <c r="I5" s="88" t="s">
        <v>4</v>
      </c>
      <c r="J5" s="94">
        <f t="shared" ref="J5:J13" si="1">SUM(K5:N5)</f>
        <v>27</v>
      </c>
      <c r="K5" s="95">
        <f>(COUNTIFS('JV Readiness Plan'!$A:$A,$I5,'JV Readiness Plan'!$F:$F,K$3))</f>
        <v>27</v>
      </c>
      <c r="L5" s="95">
        <f>(COUNTIFS('JV Readiness Plan'!$A:$A,$I5,'JV Readiness Plan'!$F:$F,L$3))</f>
        <v>0</v>
      </c>
      <c r="M5" s="95">
        <f>(COUNTIFS('JV Readiness Plan'!$A:$A,$I5,'JV Readiness Plan'!$F:$F,M$3))</f>
        <v>0</v>
      </c>
      <c r="N5" s="95">
        <f>(COUNTIFS('JV Readiness Plan'!$A:$A,$I5,'JV Readiness Plan'!$F:$F,N$3))</f>
        <v>0</v>
      </c>
    </row>
    <row r="6" spans="2:14" s="57" customFormat="1" ht="21.3" customHeight="1" x14ac:dyDescent="0.3">
      <c r="B6" s="88" t="s">
        <v>285</v>
      </c>
      <c r="C6" s="94">
        <f t="shared" si="0"/>
        <v>13</v>
      </c>
      <c r="D6" s="95">
        <f>(COUNTIFS('JV Readiness Plan'!$E:$E,$B6,'JV Readiness Plan'!$F:$F,D$3))</f>
        <v>8</v>
      </c>
      <c r="E6" s="95">
        <f>(COUNTIFS('JV Readiness Plan'!$E:$E,$B6,'JV Readiness Plan'!$F:$F,E$3))</f>
        <v>4</v>
      </c>
      <c r="F6" s="95">
        <f>(COUNTIFS('JV Readiness Plan'!$E:$E,$B6,'JV Readiness Plan'!$F:$F,F$3))</f>
        <v>1</v>
      </c>
      <c r="G6" s="95">
        <f>(COUNTIFS('JV Readiness Plan'!$E:$E,$B6,'JV Readiness Plan'!$F:$F,G$3))</f>
        <v>0</v>
      </c>
      <c r="I6" s="88" t="s">
        <v>25</v>
      </c>
      <c r="J6" s="94">
        <f t="shared" si="1"/>
        <v>6</v>
      </c>
      <c r="K6" s="95">
        <f>(COUNTIFS('JV Readiness Plan'!$A:$A,$I6,'JV Readiness Plan'!$F:$F,K$3))</f>
        <v>6</v>
      </c>
      <c r="L6" s="95">
        <f>(COUNTIFS('JV Readiness Plan'!$A:$A,$I6,'JV Readiness Plan'!$F:$F,L$3))</f>
        <v>0</v>
      </c>
      <c r="M6" s="95">
        <f>(COUNTIFS('JV Readiness Plan'!$A:$A,$I6,'JV Readiness Plan'!$F:$F,M$3))</f>
        <v>0</v>
      </c>
      <c r="N6" s="95">
        <f>(COUNTIFS('JV Readiness Plan'!$A:$A,$I6,'JV Readiness Plan'!$F:$F,N$3))</f>
        <v>0</v>
      </c>
    </row>
    <row r="7" spans="2:14" s="57" customFormat="1" ht="21.3" customHeight="1" x14ac:dyDescent="0.3">
      <c r="B7" s="88" t="s">
        <v>220</v>
      </c>
      <c r="C7" s="94">
        <f t="shared" si="0"/>
        <v>10</v>
      </c>
      <c r="D7" s="95">
        <f>(COUNTIFS('JV Readiness Plan'!$E:$E,$B7,'JV Readiness Plan'!$F:$F,D$3))</f>
        <v>10</v>
      </c>
      <c r="E7" s="95">
        <f>(COUNTIFS('JV Readiness Plan'!$E:$E,$B7,'JV Readiness Plan'!$F:$F,E$3))</f>
        <v>0</v>
      </c>
      <c r="F7" s="95">
        <f>(COUNTIFS('JV Readiness Plan'!$E:$E,$B7,'JV Readiness Plan'!$F:$F,F$3))</f>
        <v>0</v>
      </c>
      <c r="G7" s="95">
        <f>(COUNTIFS('JV Readiness Plan'!$E:$E,$B7,'JV Readiness Plan'!$F:$F,G$3))</f>
        <v>0</v>
      </c>
      <c r="I7" s="88" t="s">
        <v>42</v>
      </c>
      <c r="J7" s="94">
        <f t="shared" si="1"/>
        <v>10</v>
      </c>
      <c r="K7" s="95">
        <f>(COUNTIFS('JV Readiness Plan'!$A:$A,$I7,'JV Readiness Plan'!$F:$F,K$3))</f>
        <v>10</v>
      </c>
      <c r="L7" s="95">
        <f>(COUNTIFS('JV Readiness Plan'!$A:$A,$I7,'JV Readiness Plan'!$F:$F,L$3))</f>
        <v>0</v>
      </c>
      <c r="M7" s="95">
        <f>(COUNTIFS('JV Readiness Plan'!$A:$A,$I7,'JV Readiness Plan'!$F:$F,M$3))</f>
        <v>0</v>
      </c>
      <c r="N7" s="95">
        <f>(COUNTIFS('JV Readiness Plan'!$A:$A,$I7,'JV Readiness Plan'!$F:$F,N$3))</f>
        <v>0</v>
      </c>
    </row>
    <row r="8" spans="2:14" s="57" customFormat="1" ht="21.3" customHeight="1" x14ac:dyDescent="0.3">
      <c r="B8" s="88" t="s">
        <v>340</v>
      </c>
      <c r="C8" s="94">
        <f t="shared" si="0"/>
        <v>7</v>
      </c>
      <c r="D8" s="95">
        <f>(COUNTIFS('JV Readiness Plan'!$E:$E,$B8,'JV Readiness Plan'!$F:$F,D$3))</f>
        <v>6</v>
      </c>
      <c r="E8" s="95">
        <f>(COUNTIFS('JV Readiness Plan'!$E:$E,$B8,'JV Readiness Plan'!$F:$F,E$3))</f>
        <v>1</v>
      </c>
      <c r="F8" s="95">
        <f>(COUNTIFS('JV Readiness Plan'!$E:$E,$B8,'JV Readiness Plan'!$F:$F,F$3))</f>
        <v>0</v>
      </c>
      <c r="G8" s="95">
        <f>(COUNTIFS('JV Readiness Plan'!$E:$E,$B8,'JV Readiness Plan'!$F:$F,G$3))</f>
        <v>0</v>
      </c>
      <c r="I8" s="88" t="s">
        <v>47</v>
      </c>
      <c r="J8" s="94">
        <f t="shared" si="1"/>
        <v>13</v>
      </c>
      <c r="K8" s="95">
        <f>(COUNTIFS('JV Readiness Plan'!$A:$A,$I8,'JV Readiness Plan'!$F:$F,K$3))</f>
        <v>12</v>
      </c>
      <c r="L8" s="95">
        <f>(COUNTIFS('JV Readiness Plan'!$A:$A,$I8,'JV Readiness Plan'!$F:$F,L$3))</f>
        <v>1</v>
      </c>
      <c r="M8" s="95">
        <f>(COUNTIFS('JV Readiness Plan'!$A:$A,$I8,'JV Readiness Plan'!$F:$F,M$3))</f>
        <v>0</v>
      </c>
      <c r="N8" s="95">
        <f>(COUNTIFS('JV Readiness Plan'!$A:$A,$I8,'JV Readiness Plan'!$F:$F,N$3))</f>
        <v>0</v>
      </c>
    </row>
    <row r="9" spans="2:14" s="57" customFormat="1" ht="21.3" customHeight="1" x14ac:dyDescent="0.3">
      <c r="B9" s="88" t="s">
        <v>339</v>
      </c>
      <c r="C9" s="94">
        <f t="shared" si="0"/>
        <v>7</v>
      </c>
      <c r="D9" s="95">
        <f>(COUNTIFS('JV Readiness Plan'!$E:$E,$B9,'JV Readiness Plan'!$F:$F,D$3))</f>
        <v>7</v>
      </c>
      <c r="E9" s="95">
        <f>(COUNTIFS('JV Readiness Plan'!$E:$E,$B9,'JV Readiness Plan'!$F:$F,E$3))</f>
        <v>0</v>
      </c>
      <c r="F9" s="95">
        <f>(COUNTIFS('JV Readiness Plan'!$E:$E,$B9,'JV Readiness Plan'!$F:$F,F$3))</f>
        <v>0</v>
      </c>
      <c r="G9" s="95">
        <f>(COUNTIFS('JV Readiness Plan'!$E:$E,$B9,'JV Readiness Plan'!$F:$F,G$3))</f>
        <v>0</v>
      </c>
      <c r="I9" s="88" t="s">
        <v>51</v>
      </c>
      <c r="J9" s="94">
        <f t="shared" si="1"/>
        <v>1</v>
      </c>
      <c r="K9" s="95">
        <f>(COUNTIFS('JV Readiness Plan'!$A:$A,$I9,'JV Readiness Plan'!$F:$F,K$3))</f>
        <v>1</v>
      </c>
      <c r="L9" s="95">
        <f>(COUNTIFS('JV Readiness Plan'!$A:$A,$I9,'JV Readiness Plan'!$F:$F,L$3))</f>
        <v>0</v>
      </c>
      <c r="M9" s="95">
        <f>(COUNTIFS('JV Readiness Plan'!$A:$A,$I9,'JV Readiness Plan'!$F:$F,M$3))</f>
        <v>0</v>
      </c>
      <c r="N9" s="95">
        <f>(COUNTIFS('JV Readiness Plan'!$A:$A,$I9,'JV Readiness Plan'!$F:$F,N$3))</f>
        <v>0</v>
      </c>
    </row>
    <row r="10" spans="2:14" s="57" customFormat="1" ht="21.3" customHeight="1" x14ac:dyDescent="0.3">
      <c r="B10" s="88" t="s">
        <v>123</v>
      </c>
      <c r="C10" s="94">
        <f t="shared" si="0"/>
        <v>6</v>
      </c>
      <c r="D10" s="95">
        <f>(COUNTIFS('JV Readiness Plan'!$E:$E,$B10,'JV Readiness Plan'!$F:$F,D$3))</f>
        <v>4</v>
      </c>
      <c r="E10" s="95">
        <f>(COUNTIFS('JV Readiness Plan'!$E:$E,$B10,'JV Readiness Plan'!$F:$F,E$3))</f>
        <v>2</v>
      </c>
      <c r="F10" s="95">
        <f>(COUNTIFS('JV Readiness Plan'!$E:$E,$B10,'JV Readiness Plan'!$F:$F,F$3))</f>
        <v>0</v>
      </c>
      <c r="G10" s="95">
        <f>(COUNTIFS('JV Readiness Plan'!$E:$E,$B10,'JV Readiness Plan'!$F:$F,G$3))</f>
        <v>0</v>
      </c>
      <c r="I10" s="88" t="s">
        <v>40</v>
      </c>
      <c r="J10" s="94">
        <f t="shared" si="1"/>
        <v>4</v>
      </c>
      <c r="K10" s="95">
        <f>(COUNTIFS('JV Readiness Plan'!$A:$A,$I10,'JV Readiness Plan'!$F:$F,K$3))</f>
        <v>4</v>
      </c>
      <c r="L10" s="95">
        <f>(COUNTIFS('JV Readiness Plan'!$A:$A,$I10,'JV Readiness Plan'!$F:$F,L$3))</f>
        <v>0</v>
      </c>
      <c r="M10" s="95">
        <f>(COUNTIFS('JV Readiness Plan'!$A:$A,$I10,'JV Readiness Plan'!$F:$F,M$3))</f>
        <v>0</v>
      </c>
      <c r="N10" s="95">
        <f>(COUNTIFS('JV Readiness Plan'!$A:$A,$I10,'JV Readiness Plan'!$F:$F,N$3))</f>
        <v>0</v>
      </c>
    </row>
    <row r="11" spans="2:14" s="57" customFormat="1" ht="21.3" customHeight="1" x14ac:dyDescent="0.3">
      <c r="B11" s="88" t="s">
        <v>323</v>
      </c>
      <c r="C11" s="94">
        <f t="shared" si="0"/>
        <v>6</v>
      </c>
      <c r="D11" s="95">
        <f>(COUNTIFS('JV Readiness Plan'!$E:$E,$B11,'JV Readiness Plan'!$F:$F,D$3))</f>
        <v>6</v>
      </c>
      <c r="E11" s="95">
        <f>(COUNTIFS('JV Readiness Plan'!$E:$E,$B11,'JV Readiness Plan'!$F:$F,E$3))</f>
        <v>0</v>
      </c>
      <c r="F11" s="95">
        <f>(COUNTIFS('JV Readiness Plan'!$E:$E,$B11,'JV Readiness Plan'!$F:$F,F$3))</f>
        <v>0</v>
      </c>
      <c r="G11" s="95">
        <f>(COUNTIFS('JV Readiness Plan'!$E:$E,$B11,'JV Readiness Plan'!$F:$F,G$3))</f>
        <v>0</v>
      </c>
      <c r="I11" s="88" t="s">
        <v>139</v>
      </c>
      <c r="J11" s="94">
        <f t="shared" si="1"/>
        <v>5</v>
      </c>
      <c r="K11" s="95">
        <f>(COUNTIFS('JV Readiness Plan'!$A:$A,$I11,'JV Readiness Plan'!$F:$F,K$3))</f>
        <v>5</v>
      </c>
      <c r="L11" s="95">
        <f>(COUNTIFS('JV Readiness Plan'!$A:$A,$I11,'JV Readiness Plan'!$F:$F,L$3))</f>
        <v>0</v>
      </c>
      <c r="M11" s="95">
        <f>(COUNTIFS('JV Readiness Plan'!$A:$A,$I11,'JV Readiness Plan'!$F:$F,M$3))</f>
        <v>0</v>
      </c>
      <c r="N11" s="95">
        <f>(COUNTIFS('JV Readiness Plan'!$A:$A,$I11,'JV Readiness Plan'!$F:$F,N$3))</f>
        <v>0</v>
      </c>
    </row>
    <row r="12" spans="2:14" s="57" customFormat="1" ht="21.3" customHeight="1" x14ac:dyDescent="0.3">
      <c r="B12" s="88" t="s">
        <v>214</v>
      </c>
      <c r="C12" s="94">
        <f t="shared" si="0"/>
        <v>4</v>
      </c>
      <c r="D12" s="95">
        <f>(COUNTIFS('JV Readiness Plan'!$E:$E,$B12,'JV Readiness Plan'!$F:$F,D$3))</f>
        <v>2</v>
      </c>
      <c r="E12" s="95">
        <f>(COUNTIFS('JV Readiness Plan'!$E:$E,$B12,'JV Readiness Plan'!$F:$F,E$3))</f>
        <v>2</v>
      </c>
      <c r="F12" s="95">
        <f>(COUNTIFS('JV Readiness Plan'!$E:$E,$B12,'JV Readiness Plan'!$F:$F,F$3))</f>
        <v>0</v>
      </c>
      <c r="G12" s="95">
        <f>(COUNTIFS('JV Readiness Plan'!$E:$E,$B12,'JV Readiness Plan'!$F:$F,G$3))</f>
        <v>0</v>
      </c>
      <c r="I12" s="88" t="s">
        <v>276</v>
      </c>
      <c r="J12" s="94">
        <f t="shared" si="1"/>
        <v>3</v>
      </c>
      <c r="K12" s="95">
        <f>(COUNTIFS('JV Readiness Plan'!$A:$A,$I12,'JV Readiness Plan'!$F:$F,K$3))</f>
        <v>3</v>
      </c>
      <c r="L12" s="95">
        <f>(COUNTIFS('JV Readiness Plan'!$A:$A,$I12,'JV Readiness Plan'!$F:$F,L$3))</f>
        <v>0</v>
      </c>
      <c r="M12" s="95">
        <f>(COUNTIFS('JV Readiness Plan'!$A:$A,$I12,'JV Readiness Plan'!$F:$F,M$3))</f>
        <v>0</v>
      </c>
      <c r="N12" s="95">
        <f>(COUNTIFS('JV Readiness Plan'!$A:$A,$I12,'JV Readiness Plan'!$F:$F,N$3))</f>
        <v>0</v>
      </c>
    </row>
    <row r="13" spans="2:14" s="57" customFormat="1" ht="21.3" customHeight="1" x14ac:dyDescent="0.3">
      <c r="B13" s="88" t="s">
        <v>136</v>
      </c>
      <c r="C13" s="94">
        <f t="shared" si="0"/>
        <v>3</v>
      </c>
      <c r="D13" s="95">
        <f>(COUNTIFS('JV Readiness Plan'!$E:$E,$B13,'JV Readiness Plan'!$F:$F,D$3))</f>
        <v>3</v>
      </c>
      <c r="E13" s="95">
        <f>(COUNTIFS('JV Readiness Plan'!$E:$E,$B13,'JV Readiness Plan'!$F:$F,E$3))</f>
        <v>0</v>
      </c>
      <c r="F13" s="95">
        <f>(COUNTIFS('JV Readiness Plan'!$E:$E,$B13,'JV Readiness Plan'!$F:$F,F$3))</f>
        <v>0</v>
      </c>
      <c r="G13" s="95">
        <f>(COUNTIFS('JV Readiness Plan'!$E:$E,$B13,'JV Readiness Plan'!$F:$F,G$3))</f>
        <v>0</v>
      </c>
      <c r="I13" s="88" t="s">
        <v>161</v>
      </c>
      <c r="J13" s="94">
        <f t="shared" si="1"/>
        <v>1</v>
      </c>
      <c r="K13" s="95">
        <f>(COUNTIFS('JV Readiness Plan'!$A:$A,$I13,'JV Readiness Plan'!$F:$F,K$3))</f>
        <v>1</v>
      </c>
      <c r="L13" s="95">
        <f>(COUNTIFS('JV Readiness Plan'!$A:$A,$I13,'JV Readiness Plan'!$F:$F,L$3))</f>
        <v>0</v>
      </c>
      <c r="M13" s="95">
        <f>(COUNTIFS('JV Readiness Plan'!$A:$A,$I13,'JV Readiness Plan'!$F:$F,M$3))</f>
        <v>0</v>
      </c>
      <c r="N13" s="95">
        <f>(COUNTIFS('JV Readiness Plan'!$A:$A,$I13,'JV Readiness Plan'!$F:$F,N$3))</f>
        <v>0</v>
      </c>
    </row>
    <row r="14" spans="2:14" s="57" customFormat="1" ht="21.3" customHeight="1" x14ac:dyDescent="0.3">
      <c r="B14" s="88" t="s">
        <v>292</v>
      </c>
      <c r="C14" s="94">
        <f t="shared" si="0"/>
        <v>3</v>
      </c>
      <c r="D14" s="95">
        <f>(COUNTIFS('JV Readiness Plan'!$E:$E,$B14,'JV Readiness Plan'!$F:$F,D$3))</f>
        <v>3</v>
      </c>
      <c r="E14" s="95">
        <f>(COUNTIFS('JV Readiness Plan'!$E:$E,$B14,'JV Readiness Plan'!$F:$F,E$3))</f>
        <v>0</v>
      </c>
      <c r="F14" s="95">
        <f>(COUNTIFS('JV Readiness Plan'!$E:$E,$B14,'JV Readiness Plan'!$F:$F,F$3))</f>
        <v>0</v>
      </c>
      <c r="G14" s="95">
        <f>(COUNTIFS('JV Readiness Plan'!$E:$E,$B14,'JV Readiness Plan'!$F:$F,G$3))</f>
        <v>0</v>
      </c>
      <c r="J14" s="59"/>
      <c r="K14" s="59"/>
      <c r="L14" s="59"/>
      <c r="M14" s="59"/>
    </row>
    <row r="15" spans="2:14" s="57" customFormat="1" ht="21.3" customHeight="1" x14ac:dyDescent="0.3">
      <c r="B15" s="88" t="s">
        <v>227</v>
      </c>
      <c r="C15" s="94">
        <f t="shared" si="0"/>
        <v>2</v>
      </c>
      <c r="D15" s="95">
        <f>(COUNTIFS('JV Readiness Plan'!$E:$E,$B15,'JV Readiness Plan'!$F:$F,D$3))</f>
        <v>0</v>
      </c>
      <c r="E15" s="95">
        <f>(COUNTIFS('JV Readiness Plan'!$E:$E,$B15,'JV Readiness Plan'!$F:$F,E$3))</f>
        <v>1</v>
      </c>
      <c r="F15" s="95">
        <f>(COUNTIFS('JV Readiness Plan'!$E:$E,$B15,'JV Readiness Plan'!$F:$F,F$3))</f>
        <v>1</v>
      </c>
      <c r="G15" s="95">
        <f>(COUNTIFS('JV Readiness Plan'!$E:$E,$B15,'JV Readiness Plan'!$F:$F,G$3))</f>
        <v>0</v>
      </c>
      <c r="J15" s="59"/>
      <c r="K15" s="59"/>
      <c r="L15" s="59"/>
      <c r="M15" s="59"/>
    </row>
    <row r="16" spans="2:14" s="57" customFormat="1" ht="21.3" customHeight="1" x14ac:dyDescent="0.3">
      <c r="B16" s="88" t="s">
        <v>303</v>
      </c>
      <c r="C16" s="94">
        <f t="shared" si="0"/>
        <v>0</v>
      </c>
      <c r="D16" s="95">
        <f>(COUNTIFS('JV Readiness Plan'!$E:$E,$B16,'JV Readiness Plan'!$F:$F,D$3))</f>
        <v>0</v>
      </c>
      <c r="E16" s="95">
        <f>(COUNTIFS('JV Readiness Plan'!$E:$E,$B16,'JV Readiness Plan'!$F:$F,E$3))</f>
        <v>0</v>
      </c>
      <c r="F16" s="95">
        <f>(COUNTIFS('JV Readiness Plan'!$E:$E,$B16,'JV Readiness Plan'!$F:$F,F$3))</f>
        <v>0</v>
      </c>
      <c r="G16" s="95">
        <f>(COUNTIFS('JV Readiness Plan'!$E:$E,$B16,'JV Readiness Plan'!$F:$F,G$3))</f>
        <v>0</v>
      </c>
      <c r="J16" s="59"/>
      <c r="K16" s="59"/>
      <c r="L16" s="59"/>
      <c r="M16" s="59"/>
    </row>
    <row r="17" spans="2:13" s="57" customFormat="1" ht="21.3" customHeight="1" x14ac:dyDescent="0.3">
      <c r="B17" s="88" t="s">
        <v>258</v>
      </c>
      <c r="C17" s="94">
        <f t="shared" si="0"/>
        <v>2</v>
      </c>
      <c r="D17" s="95">
        <f>(COUNTIFS('JV Readiness Plan'!$E:$E,$B17,'JV Readiness Plan'!$F:$F,D$3))</f>
        <v>2</v>
      </c>
      <c r="E17" s="95">
        <f>(COUNTIFS('JV Readiness Plan'!$E:$E,$B17,'JV Readiness Plan'!$F:$F,E$3))</f>
        <v>0</v>
      </c>
      <c r="F17" s="95">
        <f>(COUNTIFS('JV Readiness Plan'!$E:$E,$B17,'JV Readiness Plan'!$F:$F,F$3))</f>
        <v>0</v>
      </c>
      <c r="G17" s="95">
        <f>(COUNTIFS('JV Readiness Plan'!$E:$E,$B17,'JV Readiness Plan'!$F:$F,G$3))</f>
        <v>0</v>
      </c>
      <c r="J17" s="59"/>
      <c r="K17" s="59"/>
      <c r="L17" s="59"/>
      <c r="M17" s="59"/>
    </row>
    <row r="18" spans="2:13" s="57" customFormat="1" ht="21.3" customHeight="1" x14ac:dyDescent="0.3">
      <c r="B18" s="88" t="s">
        <v>288</v>
      </c>
      <c r="C18" s="94">
        <f t="shared" si="0"/>
        <v>2</v>
      </c>
      <c r="D18" s="95">
        <f>(COUNTIFS('JV Readiness Plan'!$E:$E,$B18,'JV Readiness Plan'!$F:$F,D$3))</f>
        <v>2</v>
      </c>
      <c r="E18" s="95">
        <f>(COUNTIFS('JV Readiness Plan'!$E:$E,$B18,'JV Readiness Plan'!$F:$F,E$3))</f>
        <v>0</v>
      </c>
      <c r="F18" s="95">
        <f>(COUNTIFS('JV Readiness Plan'!$E:$E,$B18,'JV Readiness Plan'!$F:$F,F$3))</f>
        <v>0</v>
      </c>
      <c r="G18" s="95">
        <f>(COUNTIFS('JV Readiness Plan'!$E:$E,$B18,'JV Readiness Plan'!$F:$F,G$3))</f>
        <v>0</v>
      </c>
      <c r="J18" s="59"/>
      <c r="K18" s="59"/>
      <c r="L18" s="59"/>
      <c r="M18" s="59"/>
    </row>
    <row r="19" spans="2:13" s="57" customFormat="1" ht="21.3" customHeight="1" x14ac:dyDescent="0.3">
      <c r="B19" s="88" t="s">
        <v>286</v>
      </c>
      <c r="C19" s="94">
        <f t="shared" si="0"/>
        <v>2</v>
      </c>
      <c r="D19" s="95">
        <f>(COUNTIFS('JV Readiness Plan'!$E:$E,$B19,'JV Readiness Plan'!$F:$F,D$3))</f>
        <v>2</v>
      </c>
      <c r="E19" s="95">
        <f>(COUNTIFS('JV Readiness Plan'!$E:$E,$B19,'JV Readiness Plan'!$F:$F,E$3))</f>
        <v>0</v>
      </c>
      <c r="F19" s="95">
        <f>(COUNTIFS('JV Readiness Plan'!$E:$E,$B19,'JV Readiness Plan'!$F:$F,F$3))</f>
        <v>0</v>
      </c>
      <c r="G19" s="95">
        <f>(COUNTIFS('JV Readiness Plan'!$E:$E,$B19,'JV Readiness Plan'!$F:$F,G$3))</f>
        <v>0</v>
      </c>
      <c r="J19" s="59"/>
      <c r="K19" s="59"/>
      <c r="L19" s="59"/>
      <c r="M19" s="59"/>
    </row>
    <row r="20" spans="2:13" s="57" customFormat="1" ht="21.3" customHeight="1" x14ac:dyDescent="0.3">
      <c r="B20" s="88" t="s">
        <v>304</v>
      </c>
      <c r="C20" s="94">
        <f t="shared" si="0"/>
        <v>2</v>
      </c>
      <c r="D20" s="95">
        <f>(COUNTIFS('JV Readiness Plan'!$E:$E,$B20,'JV Readiness Plan'!$F:$F,D$3))</f>
        <v>2</v>
      </c>
      <c r="E20" s="95">
        <f>(COUNTIFS('JV Readiness Plan'!$E:$E,$B20,'JV Readiness Plan'!$F:$F,E$3))</f>
        <v>0</v>
      </c>
      <c r="F20" s="95">
        <f>(COUNTIFS('JV Readiness Plan'!$E:$E,$B20,'JV Readiness Plan'!$F:$F,F$3))</f>
        <v>0</v>
      </c>
      <c r="G20" s="95">
        <f>(COUNTIFS('JV Readiness Plan'!$E:$E,$B20,'JV Readiness Plan'!$F:$F,G$3))</f>
        <v>0</v>
      </c>
      <c r="J20" s="59"/>
      <c r="K20" s="59"/>
      <c r="L20" s="59"/>
      <c r="M20" s="59"/>
    </row>
    <row r="21" spans="2:13" s="57" customFormat="1" ht="21.3" customHeight="1" x14ac:dyDescent="0.3">
      <c r="B21" s="88" t="s">
        <v>287</v>
      </c>
      <c r="C21" s="94">
        <f t="shared" si="0"/>
        <v>2</v>
      </c>
      <c r="D21" s="95">
        <f>(COUNTIFS('JV Readiness Plan'!$E:$E,$B21,'JV Readiness Plan'!$F:$F,D$3))</f>
        <v>2</v>
      </c>
      <c r="E21" s="95">
        <f>(COUNTIFS('JV Readiness Plan'!$E:$E,$B21,'JV Readiness Plan'!$F:$F,E$3))</f>
        <v>0</v>
      </c>
      <c r="F21" s="95">
        <f>(COUNTIFS('JV Readiness Plan'!$E:$E,$B21,'JV Readiness Plan'!$F:$F,F$3))</f>
        <v>0</v>
      </c>
      <c r="G21" s="95">
        <f>(COUNTIFS('JV Readiness Plan'!$E:$E,$B21,'JV Readiness Plan'!$F:$F,G$3))</f>
        <v>0</v>
      </c>
      <c r="J21" s="59"/>
      <c r="K21" s="59"/>
      <c r="L21" s="59"/>
      <c r="M21" s="59"/>
    </row>
    <row r="22" spans="2:13" s="57" customFormat="1" ht="21.3" customHeight="1" x14ac:dyDescent="0.3">
      <c r="B22" s="88" t="s">
        <v>314</v>
      </c>
      <c r="C22" s="94">
        <f t="shared" si="0"/>
        <v>2</v>
      </c>
      <c r="D22" s="95">
        <f>(COUNTIFS('JV Readiness Plan'!$E:$E,$B22,'JV Readiness Plan'!$F:$F,D$3))</f>
        <v>1</v>
      </c>
      <c r="E22" s="95">
        <f>(COUNTIFS('JV Readiness Plan'!$E:$E,$B22,'JV Readiness Plan'!$F:$F,E$3))</f>
        <v>1</v>
      </c>
      <c r="F22" s="95">
        <f>(COUNTIFS('JV Readiness Plan'!$E:$E,$B22,'JV Readiness Plan'!$F:$F,F$3))</f>
        <v>0</v>
      </c>
      <c r="G22" s="95">
        <f>(COUNTIFS('JV Readiness Plan'!$E:$E,$B22,'JV Readiness Plan'!$F:$F,G$3))</f>
        <v>0</v>
      </c>
      <c r="J22" s="59"/>
      <c r="K22" s="59"/>
      <c r="L22" s="59"/>
      <c r="M22" s="59"/>
    </row>
    <row r="23" spans="2:13" s="57" customFormat="1" ht="21.3" customHeight="1" x14ac:dyDescent="0.3">
      <c r="B23" s="88" t="s">
        <v>337</v>
      </c>
      <c r="C23" s="94">
        <f t="shared" si="0"/>
        <v>1</v>
      </c>
      <c r="D23" s="95">
        <f>(COUNTIFS('JV Readiness Plan'!$E:$E,$B23,'JV Readiness Plan'!$F:$F,D$3))</f>
        <v>0</v>
      </c>
      <c r="E23" s="95">
        <f>(COUNTIFS('JV Readiness Plan'!$E:$E,$B23,'JV Readiness Plan'!$F:$F,E$3))</f>
        <v>1</v>
      </c>
      <c r="F23" s="95">
        <f>(COUNTIFS('JV Readiness Plan'!$E:$E,$B23,'JV Readiness Plan'!$F:$F,F$3))</f>
        <v>0</v>
      </c>
      <c r="G23" s="95">
        <f>(COUNTIFS('JV Readiness Plan'!$E:$E,$B23,'JV Readiness Plan'!$F:$F,G$3))</f>
        <v>0</v>
      </c>
      <c r="J23" s="59"/>
      <c r="K23" s="59"/>
      <c r="L23" s="59"/>
      <c r="M23" s="59"/>
    </row>
    <row r="24" spans="2:13" s="57" customFormat="1" ht="21.3" customHeight="1" x14ac:dyDescent="0.3">
      <c r="B24" s="88" t="s">
        <v>230</v>
      </c>
      <c r="C24" s="94">
        <f t="shared" si="0"/>
        <v>1</v>
      </c>
      <c r="D24" s="95">
        <f>(COUNTIFS('JV Readiness Plan'!$E:$E,$B24,'JV Readiness Plan'!$F:$F,D$3))</f>
        <v>1</v>
      </c>
      <c r="E24" s="95">
        <f>(COUNTIFS('JV Readiness Plan'!$E:$E,$B24,'JV Readiness Plan'!$F:$F,E$3))</f>
        <v>0</v>
      </c>
      <c r="F24" s="95">
        <f>(COUNTIFS('JV Readiness Plan'!$E:$E,$B24,'JV Readiness Plan'!$F:$F,F$3))</f>
        <v>0</v>
      </c>
      <c r="G24" s="95">
        <f>(COUNTIFS('JV Readiness Plan'!$E:$E,$B24,'JV Readiness Plan'!$F:$F,G$3))</f>
        <v>0</v>
      </c>
      <c r="J24" s="59"/>
      <c r="K24" s="59"/>
      <c r="L24" s="59"/>
      <c r="M24" s="59"/>
    </row>
    <row r="25" spans="2:13" s="57" customFormat="1" ht="21.3" customHeight="1" x14ac:dyDescent="0.3">
      <c r="B25" s="88" t="s">
        <v>341</v>
      </c>
      <c r="C25" s="94">
        <f t="shared" si="0"/>
        <v>0</v>
      </c>
      <c r="D25" s="95">
        <f>(COUNTIFS('JV Readiness Plan'!$E:$E,$B25,'JV Readiness Plan'!$F:$F,D$3))</f>
        <v>0</v>
      </c>
      <c r="E25" s="95">
        <f>(COUNTIFS('JV Readiness Plan'!$E:$E,$B25,'JV Readiness Plan'!$F:$F,E$3))</f>
        <v>0</v>
      </c>
      <c r="F25" s="95">
        <f>(COUNTIFS('JV Readiness Plan'!$E:$E,$B25,'JV Readiness Plan'!$F:$F,F$3))</f>
        <v>0</v>
      </c>
      <c r="G25" s="95">
        <f>(COUNTIFS('JV Readiness Plan'!$E:$E,$B25,'JV Readiness Plan'!$F:$F,G$3))</f>
        <v>0</v>
      </c>
      <c r="J25" s="59"/>
      <c r="K25" s="59"/>
      <c r="L25" s="59"/>
      <c r="M25" s="59"/>
    </row>
    <row r="26" spans="2:13" s="57" customFormat="1" ht="21.3" customHeight="1" x14ac:dyDescent="0.3">
      <c r="B26" s="88" t="s">
        <v>346</v>
      </c>
      <c r="C26" s="94">
        <f t="shared" si="0"/>
        <v>1</v>
      </c>
      <c r="D26" s="95">
        <f>(COUNTIFS('JV Readiness Plan'!$E:$E,$B26,'JV Readiness Plan'!$F:$F,D$3))</f>
        <v>1</v>
      </c>
      <c r="E26" s="95">
        <f>(COUNTIFS('JV Readiness Plan'!$E:$E,$B26,'JV Readiness Plan'!$F:$F,E$3))</f>
        <v>0</v>
      </c>
      <c r="F26" s="95">
        <f>(COUNTIFS('JV Readiness Plan'!$E:$E,$B26,'JV Readiness Plan'!$F:$F,F$3))</f>
        <v>0</v>
      </c>
      <c r="G26" s="95">
        <f>(COUNTIFS('JV Readiness Plan'!$E:$E,$B26,'JV Readiness Plan'!$F:$F,G$3))</f>
        <v>0</v>
      </c>
      <c r="J26" s="59"/>
      <c r="K26" s="59"/>
      <c r="L26" s="59"/>
      <c r="M26" s="59"/>
    </row>
    <row r="27" spans="2:13" s="57" customFormat="1" ht="21.3" customHeight="1" x14ac:dyDescent="0.3">
      <c r="B27" s="88" t="s">
        <v>221</v>
      </c>
      <c r="C27" s="94">
        <f t="shared" si="0"/>
        <v>1</v>
      </c>
      <c r="D27" s="95">
        <f>(COUNTIFS('JV Readiness Plan'!$E:$E,$B27,'JV Readiness Plan'!$F:$F,D$3))</f>
        <v>1</v>
      </c>
      <c r="E27" s="95">
        <f>(COUNTIFS('JV Readiness Plan'!$E:$E,$B27,'JV Readiness Plan'!$F:$F,E$3))</f>
        <v>0</v>
      </c>
      <c r="F27" s="95">
        <f>(COUNTIFS('JV Readiness Plan'!$E:$E,$B27,'JV Readiness Plan'!$F:$F,F$3))</f>
        <v>0</v>
      </c>
      <c r="G27" s="95">
        <f>(COUNTIFS('JV Readiness Plan'!$E:$E,$B27,'JV Readiness Plan'!$F:$F,G$3))</f>
        <v>0</v>
      </c>
      <c r="J27" s="59"/>
      <c r="K27" s="59"/>
      <c r="L27" s="59"/>
      <c r="M27" s="59"/>
    </row>
    <row r="28" spans="2:13" s="57" customFormat="1" ht="21.3" customHeight="1" x14ac:dyDescent="0.3">
      <c r="B28" s="88" t="s">
        <v>296</v>
      </c>
      <c r="C28" s="94">
        <f t="shared" si="0"/>
        <v>1</v>
      </c>
      <c r="D28" s="95">
        <f>(COUNTIFS('JV Readiness Plan'!$E:$E,$B28,'JV Readiness Plan'!$F:$F,D$3))</f>
        <v>1</v>
      </c>
      <c r="E28" s="95">
        <f>(COUNTIFS('JV Readiness Plan'!$E:$E,$B28,'JV Readiness Plan'!$F:$F,E$3))</f>
        <v>0</v>
      </c>
      <c r="F28" s="95">
        <f>(COUNTIFS('JV Readiness Plan'!$E:$E,$B28,'JV Readiness Plan'!$F:$F,F$3))</f>
        <v>0</v>
      </c>
      <c r="G28" s="95">
        <f>(COUNTIFS('JV Readiness Plan'!$E:$E,$B28,'JV Readiness Plan'!$F:$F,G$3))</f>
        <v>0</v>
      </c>
      <c r="J28" s="59"/>
      <c r="K28" s="59"/>
      <c r="L28" s="59"/>
      <c r="M28" s="59"/>
    </row>
    <row r="29" spans="2:13" s="57" customFormat="1" ht="21.3" customHeight="1" x14ac:dyDescent="0.3">
      <c r="B29" s="88" t="s">
        <v>301</v>
      </c>
      <c r="C29" s="94">
        <f t="shared" si="0"/>
        <v>1</v>
      </c>
      <c r="D29" s="95">
        <f>(COUNTIFS('JV Readiness Plan'!$E:$E,$B29,'JV Readiness Plan'!$F:$F,D$3))</f>
        <v>1</v>
      </c>
      <c r="E29" s="95">
        <f>(COUNTIFS('JV Readiness Plan'!$E:$E,$B29,'JV Readiness Plan'!$F:$F,E$3))</f>
        <v>0</v>
      </c>
      <c r="F29" s="95">
        <f>(COUNTIFS('JV Readiness Plan'!$E:$E,$B29,'JV Readiness Plan'!$F:$F,F$3))</f>
        <v>0</v>
      </c>
      <c r="G29" s="95">
        <f>(COUNTIFS('JV Readiness Plan'!$E:$E,$B29,'JV Readiness Plan'!$F:$F,G$3))</f>
        <v>0</v>
      </c>
      <c r="J29" s="59"/>
      <c r="K29" s="59"/>
      <c r="L29" s="59"/>
      <c r="M29" s="59"/>
    </row>
  </sheetData>
  <conditionalFormatting sqref="N4:N13 G4:G29">
    <cfRule type="cellIs" dxfId="2"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9.9978637043366805E-2"/>
  </sheetPr>
  <dimension ref="A1:K130"/>
  <sheetViews>
    <sheetView showGridLines="0" tabSelected="1" zoomScale="60" zoomScaleNormal="60" workbookViewId="0">
      <pane ySplit="3" topLeftCell="A4" activePane="bottomLeft" state="frozen"/>
      <selection pane="bottomLeft" activeCell="D81" sqref="D81"/>
    </sheetView>
  </sheetViews>
  <sheetFormatPr defaultRowHeight="15.05" outlineLevelRow="1" x14ac:dyDescent="0.3"/>
  <cols>
    <col min="1" max="1" width="13.21875" style="4" customWidth="1"/>
    <col min="2" max="2" width="16.44140625" customWidth="1"/>
    <col min="3" max="3" width="24.44140625" customWidth="1"/>
    <col min="4" max="4" width="123.88671875" customWidth="1"/>
    <col min="5" max="5" width="15.44140625" customWidth="1"/>
    <col min="6" max="6" width="14.21875" style="59" customWidth="1"/>
    <col min="7" max="7" width="12.77734375" style="4" customWidth="1"/>
    <col min="8" max="8" width="12.77734375" style="16" customWidth="1"/>
    <col min="9" max="9" width="12.77734375" style="4" customWidth="1"/>
    <col min="10" max="10" width="14.109375" customWidth="1"/>
    <col min="11" max="11" width="100" customWidth="1"/>
    <col min="12" max="12" width="120.77734375" customWidth="1"/>
  </cols>
  <sheetData>
    <row r="1" spans="1:11" ht="32.75" customHeight="1" x14ac:dyDescent="1.05">
      <c r="A1" s="5" t="s">
        <v>347</v>
      </c>
      <c r="B1" s="1"/>
      <c r="C1" s="1"/>
      <c r="D1" s="1"/>
      <c r="E1" s="1"/>
      <c r="F1" s="58"/>
      <c r="G1" s="3"/>
      <c r="H1" s="55" t="s">
        <v>297</v>
      </c>
      <c r="I1" s="56">
        <f>MAX(I4:I130)</f>
        <v>46248</v>
      </c>
      <c r="J1" s="1"/>
      <c r="K1" s="1"/>
    </row>
    <row r="2" spans="1:11" ht="25.7" x14ac:dyDescent="0.8">
      <c r="A2" s="3"/>
      <c r="B2" s="1"/>
      <c r="C2" s="1"/>
      <c r="D2" s="1"/>
      <c r="H2"/>
      <c r="K2" s="1"/>
    </row>
    <row r="3" spans="1:11" ht="45.1" x14ac:dyDescent="0.3">
      <c r="A3" s="24" t="s">
        <v>84</v>
      </c>
      <c r="B3" s="24" t="s">
        <v>0</v>
      </c>
      <c r="C3" s="25" t="s">
        <v>1</v>
      </c>
      <c r="D3" s="24" t="s">
        <v>89</v>
      </c>
      <c r="E3" s="26" t="s">
        <v>75</v>
      </c>
      <c r="F3" s="26" t="s">
        <v>3</v>
      </c>
      <c r="G3" s="26" t="s">
        <v>76</v>
      </c>
      <c r="H3" s="26" t="s">
        <v>235</v>
      </c>
      <c r="I3" s="26" t="s">
        <v>85</v>
      </c>
      <c r="J3" s="26" t="s">
        <v>82</v>
      </c>
      <c r="K3" s="27" t="s">
        <v>83</v>
      </c>
    </row>
    <row r="4" spans="1:11" s="74" customFormat="1" ht="24.6" customHeight="1" x14ac:dyDescent="0.3">
      <c r="A4" s="68"/>
      <c r="B4" s="68" t="s">
        <v>228</v>
      </c>
      <c r="C4" s="69"/>
      <c r="D4" s="69"/>
      <c r="E4" s="69"/>
      <c r="F4" s="70"/>
      <c r="G4" s="71">
        <f>MIN(G5:G13)</f>
        <v>46054</v>
      </c>
      <c r="H4" s="72">
        <f>I4-G4</f>
        <v>51</v>
      </c>
      <c r="I4" s="71">
        <f>MAX(I5:I13)</f>
        <v>46105</v>
      </c>
      <c r="J4" s="73"/>
      <c r="K4" s="69"/>
    </row>
    <row r="5" spans="1:11" ht="34.450000000000003" customHeight="1" outlineLevel="1" x14ac:dyDescent="0.3">
      <c r="A5" s="52" t="s">
        <v>88</v>
      </c>
      <c r="B5" s="19" t="s">
        <v>156</v>
      </c>
      <c r="C5" s="19" t="s">
        <v>172</v>
      </c>
      <c r="D5" s="19" t="s">
        <v>178</v>
      </c>
      <c r="E5" s="19" t="s">
        <v>285</v>
      </c>
      <c r="F5" s="60" t="s">
        <v>74</v>
      </c>
      <c r="G5" s="29">
        <v>46054</v>
      </c>
      <c r="H5" s="30">
        <v>14</v>
      </c>
      <c r="I5" s="31">
        <f>G5+H5</f>
        <v>46068</v>
      </c>
      <c r="J5" s="81">
        <f t="shared" ref="J5" ca="1" si="0">IFERROR(MAX(0,MIN(1,(TODAY()-G5)/(I5-G5))),"")</f>
        <v>1</v>
      </c>
      <c r="K5" s="32"/>
    </row>
    <row r="6" spans="1:11" ht="41.95" customHeight="1" outlineLevel="1" x14ac:dyDescent="0.3">
      <c r="A6" s="51" t="s">
        <v>88</v>
      </c>
      <c r="B6" s="13" t="s">
        <v>156</v>
      </c>
      <c r="C6" s="13" t="s">
        <v>173</v>
      </c>
      <c r="D6" s="13" t="s">
        <v>174</v>
      </c>
      <c r="E6" s="13" t="s">
        <v>285</v>
      </c>
      <c r="F6" s="61" t="s">
        <v>73</v>
      </c>
      <c r="G6" s="33">
        <f>I5</f>
        <v>46068</v>
      </c>
      <c r="H6" s="34">
        <v>11</v>
      </c>
      <c r="I6" s="33">
        <f>G6+H6</f>
        <v>46079</v>
      </c>
      <c r="J6" s="82">
        <f ca="1">IFERROR(MAX(0,MIN(1,(TODAY()-G6)/(I6-G6))),"")</f>
        <v>0.81818181818181823</v>
      </c>
      <c r="K6" s="35"/>
    </row>
    <row r="7" spans="1:11" ht="41.95" customHeight="1" outlineLevel="1" x14ac:dyDescent="0.3">
      <c r="A7" s="51" t="s">
        <v>88</v>
      </c>
      <c r="B7" s="13" t="s">
        <v>156</v>
      </c>
      <c r="C7" s="13" t="s">
        <v>50</v>
      </c>
      <c r="D7" s="13" t="s">
        <v>124</v>
      </c>
      <c r="E7" s="13" t="s">
        <v>227</v>
      </c>
      <c r="F7" s="61" t="s">
        <v>73</v>
      </c>
      <c r="G7" s="33">
        <f>I5</f>
        <v>46068</v>
      </c>
      <c r="H7" s="34">
        <v>11</v>
      </c>
      <c r="I7" s="33">
        <f t="shared" ref="I7:I42" si="1">G7+H7</f>
        <v>46079</v>
      </c>
      <c r="J7" s="82">
        <f t="shared" ref="J7:J13" ca="1" si="2">IFERROR(MAX(0,MIN(1,(TODAY()-G7)/(I7-G7))),"")</f>
        <v>0.81818181818181823</v>
      </c>
      <c r="K7" s="35"/>
    </row>
    <row r="8" spans="1:11" ht="35.25" customHeight="1" outlineLevel="1" x14ac:dyDescent="0.3">
      <c r="A8" s="51" t="s">
        <v>88</v>
      </c>
      <c r="B8" s="13" t="s">
        <v>156</v>
      </c>
      <c r="C8" s="23" t="s">
        <v>245</v>
      </c>
      <c r="D8" s="23" t="s">
        <v>302</v>
      </c>
      <c r="E8" s="19" t="s">
        <v>123</v>
      </c>
      <c r="F8" s="61" t="s">
        <v>73</v>
      </c>
      <c r="G8" s="38">
        <v>46071</v>
      </c>
      <c r="H8" s="41">
        <v>14</v>
      </c>
      <c r="I8" s="31">
        <f>G8+H8</f>
        <v>46085</v>
      </c>
      <c r="J8" s="81">
        <f ca="1">IFERROR(MAX(0,MIN(1,(TODAY()-G8)/(I8-G8))),"")</f>
        <v>0.42857142857142855</v>
      </c>
      <c r="K8" s="35"/>
    </row>
    <row r="9" spans="1:11" ht="41.95" customHeight="1" outlineLevel="1" x14ac:dyDescent="0.3">
      <c r="A9" s="51" t="s">
        <v>88</v>
      </c>
      <c r="B9" s="13" t="s">
        <v>156</v>
      </c>
      <c r="C9" s="13" t="s">
        <v>181</v>
      </c>
      <c r="D9" s="13" t="s">
        <v>175</v>
      </c>
      <c r="E9" s="13" t="s">
        <v>285</v>
      </c>
      <c r="F9" s="61" t="s">
        <v>6</v>
      </c>
      <c r="G9" s="33">
        <f>I7</f>
        <v>46079</v>
      </c>
      <c r="H9" s="34">
        <v>7</v>
      </c>
      <c r="I9" s="33">
        <f t="shared" si="1"/>
        <v>46086</v>
      </c>
      <c r="J9" s="82">
        <f t="shared" ca="1" si="2"/>
        <v>0</v>
      </c>
      <c r="K9" s="35"/>
    </row>
    <row r="10" spans="1:11" ht="41.95" customHeight="1" outlineLevel="1" x14ac:dyDescent="0.3">
      <c r="A10" s="51" t="s">
        <v>88</v>
      </c>
      <c r="B10" s="13" t="s">
        <v>156</v>
      </c>
      <c r="C10" s="13" t="s">
        <v>180</v>
      </c>
      <c r="D10" s="13" t="s">
        <v>179</v>
      </c>
      <c r="E10" s="13" t="s">
        <v>285</v>
      </c>
      <c r="F10" s="61" t="s">
        <v>6</v>
      </c>
      <c r="G10" s="33">
        <f>I9</f>
        <v>46086</v>
      </c>
      <c r="H10" s="34">
        <v>3</v>
      </c>
      <c r="I10" s="33">
        <f t="shared" si="1"/>
        <v>46089</v>
      </c>
      <c r="J10" s="82">
        <f t="shared" ca="1" si="2"/>
        <v>0</v>
      </c>
      <c r="K10" s="35"/>
    </row>
    <row r="11" spans="1:11" ht="41.95" customHeight="1" outlineLevel="1" x14ac:dyDescent="0.3">
      <c r="A11" s="51" t="s">
        <v>88</v>
      </c>
      <c r="B11" s="13" t="s">
        <v>156</v>
      </c>
      <c r="C11" s="13" t="s">
        <v>176</v>
      </c>
      <c r="D11" s="13" t="s">
        <v>298</v>
      </c>
      <c r="E11" s="13" t="s">
        <v>285</v>
      </c>
      <c r="F11" s="61" t="s">
        <v>6</v>
      </c>
      <c r="G11" s="33">
        <f>I10</f>
        <v>46089</v>
      </c>
      <c r="H11" s="34">
        <v>7</v>
      </c>
      <c r="I11" s="33">
        <f t="shared" si="1"/>
        <v>46096</v>
      </c>
      <c r="J11" s="82">
        <f t="shared" ca="1" si="2"/>
        <v>0</v>
      </c>
      <c r="K11" s="35"/>
    </row>
    <row r="12" spans="1:11" ht="41.95" customHeight="1" outlineLevel="1" x14ac:dyDescent="0.3">
      <c r="A12" s="51" t="s">
        <v>88</v>
      </c>
      <c r="B12" s="13" t="s">
        <v>156</v>
      </c>
      <c r="C12" s="13" t="s">
        <v>226</v>
      </c>
      <c r="D12" s="13" t="s">
        <v>299</v>
      </c>
      <c r="E12" s="13" t="s">
        <v>123</v>
      </c>
      <c r="F12" s="61" t="s">
        <v>6</v>
      </c>
      <c r="G12" s="33">
        <f>I11</f>
        <v>46096</v>
      </c>
      <c r="H12" s="34">
        <v>2</v>
      </c>
      <c r="I12" s="33">
        <f t="shared" si="1"/>
        <v>46098</v>
      </c>
      <c r="J12" s="82">
        <f t="shared" ca="1" si="2"/>
        <v>0</v>
      </c>
      <c r="K12" s="35"/>
    </row>
    <row r="13" spans="1:11" ht="41.95" customHeight="1" outlineLevel="1" x14ac:dyDescent="0.3">
      <c r="A13" s="51" t="s">
        <v>88</v>
      </c>
      <c r="B13" s="13" t="s">
        <v>156</v>
      </c>
      <c r="C13" s="13" t="s">
        <v>177</v>
      </c>
      <c r="D13" s="13" t="s">
        <v>239</v>
      </c>
      <c r="E13" s="13" t="s">
        <v>123</v>
      </c>
      <c r="F13" s="61" t="s">
        <v>6</v>
      </c>
      <c r="G13" s="33">
        <f>I12</f>
        <v>46098</v>
      </c>
      <c r="H13" s="34">
        <v>7</v>
      </c>
      <c r="I13" s="33">
        <f t="shared" si="1"/>
        <v>46105</v>
      </c>
      <c r="J13" s="82">
        <f t="shared" ca="1" si="2"/>
        <v>0</v>
      </c>
      <c r="K13" s="35"/>
    </row>
    <row r="14" spans="1:11" s="74" customFormat="1" ht="24.6" customHeight="1" x14ac:dyDescent="0.3">
      <c r="A14" s="68"/>
      <c r="B14" s="68" t="s">
        <v>166</v>
      </c>
      <c r="C14" s="69"/>
      <c r="D14" s="69"/>
      <c r="E14" s="69"/>
      <c r="F14" s="70"/>
      <c r="G14" s="71">
        <f>MIN(G15:G20)</f>
        <v>46054</v>
      </c>
      <c r="H14" s="72">
        <f>I14-G14</f>
        <v>63</v>
      </c>
      <c r="I14" s="71">
        <f>MAX(I15:I20)</f>
        <v>46117</v>
      </c>
      <c r="J14" s="73"/>
      <c r="K14" s="69"/>
    </row>
    <row r="15" spans="1:11" ht="35.25" customHeight="1" outlineLevel="1" x14ac:dyDescent="0.3">
      <c r="A15" s="52" t="s">
        <v>88</v>
      </c>
      <c r="B15" s="23" t="s">
        <v>166</v>
      </c>
      <c r="C15" s="23" t="s">
        <v>188</v>
      </c>
      <c r="D15" s="23" t="s">
        <v>242</v>
      </c>
      <c r="E15" s="13" t="s">
        <v>227</v>
      </c>
      <c r="F15" s="62" t="s">
        <v>74</v>
      </c>
      <c r="G15" s="38">
        <v>46054</v>
      </c>
      <c r="H15" s="30">
        <v>11</v>
      </c>
      <c r="I15" s="31">
        <f t="shared" si="1"/>
        <v>46065</v>
      </c>
      <c r="J15" s="81">
        <f t="shared" ref="J15:J75" ca="1" si="3">IFERROR(MAX(0,MIN(1,(TODAY()-G15)/(I15-G15))),"")</f>
        <v>1</v>
      </c>
      <c r="K15" s="23"/>
    </row>
    <row r="16" spans="1:11" ht="35.25" customHeight="1" outlineLevel="1" x14ac:dyDescent="0.3">
      <c r="A16" s="51" t="s">
        <v>88</v>
      </c>
      <c r="B16" s="17" t="s">
        <v>166</v>
      </c>
      <c r="C16" s="17" t="s">
        <v>236</v>
      </c>
      <c r="D16" s="17" t="s">
        <v>162</v>
      </c>
      <c r="E16" s="13" t="s">
        <v>285</v>
      </c>
      <c r="F16" s="63" t="s">
        <v>73</v>
      </c>
      <c r="G16" s="33">
        <f>I15</f>
        <v>46065</v>
      </c>
      <c r="H16" s="34">
        <v>14</v>
      </c>
      <c r="I16" s="33">
        <f t="shared" si="1"/>
        <v>46079</v>
      </c>
      <c r="J16" s="82">
        <f t="shared" ca="1" si="3"/>
        <v>0.8571428571428571</v>
      </c>
      <c r="K16" s="17"/>
    </row>
    <row r="17" spans="1:11" ht="35.25" customHeight="1" outlineLevel="1" x14ac:dyDescent="0.3">
      <c r="A17" s="51" t="s">
        <v>88</v>
      </c>
      <c r="B17" s="17" t="s">
        <v>166</v>
      </c>
      <c r="C17" s="17" t="s">
        <v>236</v>
      </c>
      <c r="D17" s="17" t="s">
        <v>237</v>
      </c>
      <c r="E17" s="13" t="s">
        <v>285</v>
      </c>
      <c r="F17" s="63" t="s">
        <v>6</v>
      </c>
      <c r="G17" s="33">
        <f>I16</f>
        <v>46079</v>
      </c>
      <c r="H17" s="34">
        <v>7</v>
      </c>
      <c r="I17" s="33">
        <f t="shared" si="1"/>
        <v>46086</v>
      </c>
      <c r="J17" s="82">
        <f t="shared" ca="1" si="3"/>
        <v>0</v>
      </c>
      <c r="K17" s="17"/>
    </row>
    <row r="18" spans="1:11" ht="35.25" customHeight="1" outlineLevel="1" x14ac:dyDescent="0.3">
      <c r="A18" s="51" t="s">
        <v>88</v>
      </c>
      <c r="B18" s="13" t="s">
        <v>166</v>
      </c>
      <c r="C18" s="13" t="s">
        <v>187</v>
      </c>
      <c r="D18" s="13" t="s">
        <v>168</v>
      </c>
      <c r="E18" s="13" t="s">
        <v>350</v>
      </c>
      <c r="F18" s="61" t="s">
        <v>6</v>
      </c>
      <c r="G18" s="45">
        <v>46082</v>
      </c>
      <c r="H18" s="34">
        <v>14</v>
      </c>
      <c r="I18" s="33">
        <f>G18+H18</f>
        <v>46096</v>
      </c>
      <c r="J18" s="82">
        <f t="shared" ca="1" si="3"/>
        <v>0</v>
      </c>
      <c r="K18" s="17" t="s">
        <v>335</v>
      </c>
    </row>
    <row r="19" spans="1:11" ht="35.25" customHeight="1" outlineLevel="1" x14ac:dyDescent="0.3">
      <c r="A19" s="51" t="s">
        <v>88</v>
      </c>
      <c r="B19" s="13" t="s">
        <v>166</v>
      </c>
      <c r="C19" s="17" t="s">
        <v>189</v>
      </c>
      <c r="D19" s="17" t="s">
        <v>163</v>
      </c>
      <c r="E19" s="67" t="s">
        <v>338</v>
      </c>
      <c r="F19" s="61" t="s">
        <v>6</v>
      </c>
      <c r="G19" s="33">
        <f>I18</f>
        <v>46096</v>
      </c>
      <c r="H19" s="34">
        <v>14</v>
      </c>
      <c r="I19" s="33">
        <f t="shared" si="1"/>
        <v>46110</v>
      </c>
      <c r="J19" s="82">
        <f t="shared" ca="1" si="3"/>
        <v>0</v>
      </c>
      <c r="K19" s="17"/>
    </row>
    <row r="20" spans="1:11" ht="35.25" customHeight="1" outlineLevel="1" x14ac:dyDescent="0.3">
      <c r="A20" s="51" t="s">
        <v>88</v>
      </c>
      <c r="B20" s="13" t="s">
        <v>166</v>
      </c>
      <c r="C20" s="13" t="s">
        <v>177</v>
      </c>
      <c r="D20" s="13" t="s">
        <v>238</v>
      </c>
      <c r="E20" s="13" t="s">
        <v>137</v>
      </c>
      <c r="F20" s="61" t="s">
        <v>6</v>
      </c>
      <c r="G20" s="33">
        <f>I19</f>
        <v>46110</v>
      </c>
      <c r="H20" s="34">
        <v>7</v>
      </c>
      <c r="I20" s="33">
        <f t="shared" si="1"/>
        <v>46117</v>
      </c>
      <c r="J20" s="82">
        <f t="shared" ca="1" si="3"/>
        <v>0</v>
      </c>
      <c r="K20" s="17"/>
    </row>
    <row r="21" spans="1:11" s="74" customFormat="1" ht="24.6" customHeight="1" x14ac:dyDescent="0.3">
      <c r="A21" s="75"/>
      <c r="B21" s="75" t="s">
        <v>167</v>
      </c>
      <c r="C21" s="76"/>
      <c r="D21" s="76"/>
      <c r="E21" s="76"/>
      <c r="F21" s="77"/>
      <c r="G21" s="78">
        <f>MIN(G22:G27)</f>
        <v>46054</v>
      </c>
      <c r="H21" s="79">
        <f>I21-G21</f>
        <v>63</v>
      </c>
      <c r="I21" s="78">
        <f>MAX(I22:I27)</f>
        <v>46117</v>
      </c>
      <c r="J21" s="80"/>
      <c r="K21" s="76"/>
    </row>
    <row r="22" spans="1:11" ht="35.25" customHeight="1" outlineLevel="1" x14ac:dyDescent="0.3">
      <c r="A22" s="51" t="s">
        <v>88</v>
      </c>
      <c r="B22" s="17" t="s">
        <v>167</v>
      </c>
      <c r="C22" s="13" t="s">
        <v>240</v>
      </c>
      <c r="D22" s="13" t="s">
        <v>241</v>
      </c>
      <c r="E22" s="13" t="s">
        <v>285</v>
      </c>
      <c r="F22" s="63" t="s">
        <v>73</v>
      </c>
      <c r="G22" s="39">
        <v>46054</v>
      </c>
      <c r="H22" s="40">
        <v>25</v>
      </c>
      <c r="I22" s="33">
        <f t="shared" si="1"/>
        <v>46079</v>
      </c>
      <c r="J22" s="82">
        <f t="shared" ca="1" si="3"/>
        <v>0.92</v>
      </c>
      <c r="K22" s="13"/>
    </row>
    <row r="23" spans="1:11" ht="35.25" customHeight="1" outlineLevel="1" x14ac:dyDescent="0.3">
      <c r="A23" s="51" t="s">
        <v>88</v>
      </c>
      <c r="B23" s="17" t="s">
        <v>167</v>
      </c>
      <c r="C23" s="17" t="s">
        <v>236</v>
      </c>
      <c r="D23" s="17" t="s">
        <v>162</v>
      </c>
      <c r="E23" s="13" t="s">
        <v>285</v>
      </c>
      <c r="F23" s="61" t="s">
        <v>73</v>
      </c>
      <c r="G23" s="38">
        <v>46069</v>
      </c>
      <c r="H23" s="40">
        <v>10</v>
      </c>
      <c r="I23" s="33">
        <f t="shared" si="1"/>
        <v>46079</v>
      </c>
      <c r="J23" s="82">
        <f t="shared" ca="1" si="3"/>
        <v>0.8</v>
      </c>
      <c r="K23" s="13"/>
    </row>
    <row r="24" spans="1:11" ht="35.25" customHeight="1" outlineLevel="1" x14ac:dyDescent="0.3">
      <c r="A24" s="51" t="s">
        <v>88</v>
      </c>
      <c r="B24" s="17" t="s">
        <v>167</v>
      </c>
      <c r="C24" s="17" t="s">
        <v>236</v>
      </c>
      <c r="D24" s="17" t="s">
        <v>237</v>
      </c>
      <c r="E24" s="13" t="s">
        <v>285</v>
      </c>
      <c r="F24" s="63" t="s">
        <v>6</v>
      </c>
      <c r="G24" s="33">
        <f>I23</f>
        <v>46079</v>
      </c>
      <c r="H24" s="34">
        <v>7</v>
      </c>
      <c r="I24" s="33">
        <f t="shared" si="1"/>
        <v>46086</v>
      </c>
      <c r="J24" s="82">
        <f t="shared" ca="1" si="3"/>
        <v>0</v>
      </c>
      <c r="K24" s="13"/>
    </row>
    <row r="25" spans="1:11" ht="35.25" customHeight="1" outlineLevel="1" x14ac:dyDescent="0.3">
      <c r="A25" s="51" t="s">
        <v>88</v>
      </c>
      <c r="B25" s="13" t="s">
        <v>167</v>
      </c>
      <c r="C25" s="13" t="s">
        <v>187</v>
      </c>
      <c r="D25" s="13" t="s">
        <v>182</v>
      </c>
      <c r="E25" s="13" t="s">
        <v>350</v>
      </c>
      <c r="F25" s="61" t="s">
        <v>6</v>
      </c>
      <c r="G25" s="45">
        <v>46082</v>
      </c>
      <c r="H25" s="40">
        <v>14</v>
      </c>
      <c r="I25" s="33">
        <f t="shared" si="1"/>
        <v>46096</v>
      </c>
      <c r="J25" s="82">
        <f t="shared" ca="1" si="3"/>
        <v>0</v>
      </c>
      <c r="K25" s="17" t="s">
        <v>335</v>
      </c>
    </row>
    <row r="26" spans="1:11" ht="35.25" customHeight="1" outlineLevel="1" x14ac:dyDescent="0.3">
      <c r="A26" s="51" t="s">
        <v>88</v>
      </c>
      <c r="B26" s="13" t="s">
        <v>167</v>
      </c>
      <c r="C26" s="17" t="s">
        <v>189</v>
      </c>
      <c r="D26" s="17" t="s">
        <v>190</v>
      </c>
      <c r="E26" s="13" t="s">
        <v>338</v>
      </c>
      <c r="F26" s="61" t="s">
        <v>6</v>
      </c>
      <c r="G26" s="33">
        <f>I25</f>
        <v>46096</v>
      </c>
      <c r="H26" s="34">
        <v>14</v>
      </c>
      <c r="I26" s="33">
        <f t="shared" si="1"/>
        <v>46110</v>
      </c>
      <c r="J26" s="82">
        <f t="shared" ca="1" si="3"/>
        <v>0</v>
      </c>
      <c r="K26" s="13"/>
    </row>
    <row r="27" spans="1:11" ht="35.25" customHeight="1" outlineLevel="1" x14ac:dyDescent="0.3">
      <c r="A27" s="51" t="s">
        <v>88</v>
      </c>
      <c r="B27" s="13" t="s">
        <v>167</v>
      </c>
      <c r="C27" s="13" t="s">
        <v>177</v>
      </c>
      <c r="D27" s="13" t="s">
        <v>247</v>
      </c>
      <c r="E27" s="13" t="s">
        <v>137</v>
      </c>
      <c r="F27" s="61" t="s">
        <v>6</v>
      </c>
      <c r="G27" s="33">
        <f>I26</f>
        <v>46110</v>
      </c>
      <c r="H27" s="34">
        <v>7</v>
      </c>
      <c r="I27" s="33">
        <f t="shared" si="1"/>
        <v>46117</v>
      </c>
      <c r="J27" s="82">
        <f t="shared" ca="1" si="3"/>
        <v>0</v>
      </c>
      <c r="K27" s="13" t="s">
        <v>183</v>
      </c>
    </row>
    <row r="28" spans="1:11" s="74" customFormat="1" ht="24.6" customHeight="1" x14ac:dyDescent="0.3">
      <c r="A28" s="68"/>
      <c r="B28" s="68" t="s">
        <v>153</v>
      </c>
      <c r="C28" s="69"/>
      <c r="D28" s="69"/>
      <c r="E28" s="69"/>
      <c r="F28" s="70"/>
      <c r="G28" s="71">
        <f>MIN(G29:G31)</f>
        <v>46068</v>
      </c>
      <c r="H28" s="72">
        <f>I28-G28</f>
        <v>37</v>
      </c>
      <c r="I28" s="71">
        <f>MAX(I29:I31)</f>
        <v>46105</v>
      </c>
      <c r="J28" s="73"/>
      <c r="K28" s="69"/>
    </row>
    <row r="29" spans="1:11" ht="35.25" customHeight="1" outlineLevel="1" x14ac:dyDescent="0.3">
      <c r="A29" s="51" t="s">
        <v>88</v>
      </c>
      <c r="B29" s="13" t="s">
        <v>153</v>
      </c>
      <c r="C29" s="17" t="s">
        <v>244</v>
      </c>
      <c r="D29" s="17" t="s">
        <v>165</v>
      </c>
      <c r="E29" s="13" t="s">
        <v>340</v>
      </c>
      <c r="F29" s="63" t="s">
        <v>6</v>
      </c>
      <c r="G29" s="39">
        <v>46077</v>
      </c>
      <c r="H29" s="40">
        <v>7</v>
      </c>
      <c r="I29" s="33">
        <f t="shared" si="1"/>
        <v>46084</v>
      </c>
      <c r="J29" s="82">
        <f t="shared" ca="1" si="3"/>
        <v>0</v>
      </c>
      <c r="K29" s="13"/>
    </row>
    <row r="30" spans="1:11" ht="35.25" customHeight="1" outlineLevel="1" x14ac:dyDescent="0.3">
      <c r="A30" s="51" t="s">
        <v>88</v>
      </c>
      <c r="B30" s="13" t="s">
        <v>153</v>
      </c>
      <c r="C30" s="17" t="s">
        <v>243</v>
      </c>
      <c r="D30" s="17" t="s">
        <v>164</v>
      </c>
      <c r="E30" s="13" t="s">
        <v>340</v>
      </c>
      <c r="F30" s="63" t="s">
        <v>73</v>
      </c>
      <c r="G30" s="45">
        <v>46068</v>
      </c>
      <c r="H30" s="40">
        <v>30</v>
      </c>
      <c r="I30" s="33">
        <f t="shared" si="1"/>
        <v>46098</v>
      </c>
      <c r="J30" s="82">
        <f t="shared" ca="1" si="3"/>
        <v>0.3</v>
      </c>
      <c r="K30" s="13"/>
    </row>
    <row r="31" spans="1:11" ht="35.25" customHeight="1" outlineLevel="1" x14ac:dyDescent="0.3">
      <c r="A31" s="51" t="s">
        <v>88</v>
      </c>
      <c r="B31" s="13" t="s">
        <v>153</v>
      </c>
      <c r="C31" s="13" t="s">
        <v>177</v>
      </c>
      <c r="D31" s="13" t="s">
        <v>246</v>
      </c>
      <c r="E31" s="13" t="s">
        <v>136</v>
      </c>
      <c r="F31" s="61" t="s">
        <v>6</v>
      </c>
      <c r="G31" s="33">
        <f>I30</f>
        <v>46098</v>
      </c>
      <c r="H31" s="34">
        <v>7</v>
      </c>
      <c r="I31" s="33">
        <f t="shared" si="1"/>
        <v>46105</v>
      </c>
      <c r="J31" s="82">
        <f t="shared" ca="1" si="3"/>
        <v>0</v>
      </c>
      <c r="K31" s="13"/>
    </row>
    <row r="32" spans="1:11" s="74" customFormat="1" ht="24.6" customHeight="1" x14ac:dyDescent="0.3">
      <c r="A32" s="68"/>
      <c r="B32" s="68" t="s">
        <v>169</v>
      </c>
      <c r="C32" s="69"/>
      <c r="D32" s="69"/>
      <c r="E32" s="69"/>
      <c r="F32" s="70"/>
      <c r="G32" s="71">
        <f>MIN(G33:G36)</f>
        <v>46054</v>
      </c>
      <c r="H32" s="72">
        <f>I32-G32</f>
        <v>62</v>
      </c>
      <c r="I32" s="71">
        <f>MAX(I33:I36)</f>
        <v>46116</v>
      </c>
      <c r="J32" s="73"/>
      <c r="K32" s="69"/>
    </row>
    <row r="33" spans="1:11" ht="35.25" customHeight="1" outlineLevel="1" x14ac:dyDescent="0.3">
      <c r="A33" s="52" t="s">
        <v>88</v>
      </c>
      <c r="B33" s="23" t="s">
        <v>169</v>
      </c>
      <c r="C33" s="23" t="s">
        <v>248</v>
      </c>
      <c r="D33" s="23" t="s">
        <v>249</v>
      </c>
      <c r="E33" s="23" t="s">
        <v>214</v>
      </c>
      <c r="F33" s="62" t="s">
        <v>73</v>
      </c>
      <c r="G33" s="38">
        <v>46054</v>
      </c>
      <c r="H33" s="41">
        <v>40</v>
      </c>
      <c r="I33" s="31">
        <f t="shared" si="1"/>
        <v>46094</v>
      </c>
      <c r="J33" s="81">
        <f t="shared" ca="1" si="3"/>
        <v>0.57499999999999996</v>
      </c>
      <c r="K33" s="23" t="s">
        <v>159</v>
      </c>
    </row>
    <row r="34" spans="1:11" ht="35.25" customHeight="1" outlineLevel="1" x14ac:dyDescent="0.3">
      <c r="A34" s="51" t="s">
        <v>88</v>
      </c>
      <c r="B34" s="17" t="s">
        <v>169</v>
      </c>
      <c r="C34" s="17" t="s">
        <v>192</v>
      </c>
      <c r="D34" s="17" t="s">
        <v>125</v>
      </c>
      <c r="E34" s="17" t="s">
        <v>214</v>
      </c>
      <c r="F34" s="61" t="s">
        <v>73</v>
      </c>
      <c r="G34" s="38">
        <v>46055</v>
      </c>
      <c r="H34" s="40">
        <v>40</v>
      </c>
      <c r="I34" s="31">
        <f>G34+H34</f>
        <v>46095</v>
      </c>
      <c r="J34" s="82">
        <f t="shared" ca="1" si="3"/>
        <v>0.55000000000000004</v>
      </c>
      <c r="K34" s="13"/>
    </row>
    <row r="35" spans="1:11" ht="35.25" customHeight="1" outlineLevel="1" x14ac:dyDescent="0.3">
      <c r="A35" s="51" t="s">
        <v>88</v>
      </c>
      <c r="B35" s="17" t="s">
        <v>169</v>
      </c>
      <c r="C35" s="18" t="s">
        <v>251</v>
      </c>
      <c r="D35" s="18" t="s">
        <v>250</v>
      </c>
      <c r="E35" s="14" t="s">
        <v>351</v>
      </c>
      <c r="F35" s="61" t="s">
        <v>6</v>
      </c>
      <c r="G35" s="36">
        <f>I34</f>
        <v>46095</v>
      </c>
      <c r="H35" s="42">
        <v>14</v>
      </c>
      <c r="I35" s="33">
        <f t="shared" si="1"/>
        <v>46109</v>
      </c>
      <c r="J35" s="82">
        <f t="shared" ca="1" si="3"/>
        <v>0</v>
      </c>
      <c r="K35" s="14"/>
    </row>
    <row r="36" spans="1:11" ht="35.25" customHeight="1" outlineLevel="1" x14ac:dyDescent="0.3">
      <c r="A36" s="51" t="s">
        <v>88</v>
      </c>
      <c r="B36" s="17" t="s">
        <v>169</v>
      </c>
      <c r="C36" s="13" t="s">
        <v>177</v>
      </c>
      <c r="D36" s="13" t="s">
        <v>252</v>
      </c>
      <c r="E36" s="13" t="s">
        <v>136</v>
      </c>
      <c r="F36" s="61" t="s">
        <v>6</v>
      </c>
      <c r="G36" s="33">
        <f>I35</f>
        <v>46109</v>
      </c>
      <c r="H36" s="40">
        <v>7</v>
      </c>
      <c r="I36" s="33">
        <f t="shared" si="1"/>
        <v>46116</v>
      </c>
      <c r="J36" s="82">
        <f t="shared" ca="1" si="3"/>
        <v>0</v>
      </c>
      <c r="K36" s="13"/>
    </row>
    <row r="37" spans="1:11" s="74" customFormat="1" ht="24.6" customHeight="1" x14ac:dyDescent="0.3">
      <c r="A37" s="68"/>
      <c r="B37" s="68" t="s">
        <v>232</v>
      </c>
      <c r="C37" s="69"/>
      <c r="D37" s="69"/>
      <c r="E37" s="69"/>
      <c r="F37" s="70"/>
      <c r="G37" s="71">
        <f>MIN(G38:G46)</f>
        <v>46072</v>
      </c>
      <c r="H37" s="72">
        <f>I37-G37</f>
        <v>62</v>
      </c>
      <c r="I37" s="71">
        <f>MAX(I38:I46)</f>
        <v>46134</v>
      </c>
      <c r="J37" s="73"/>
      <c r="K37" s="69"/>
    </row>
    <row r="38" spans="1:11" ht="41.35" customHeight="1" outlineLevel="1" x14ac:dyDescent="0.3">
      <c r="A38" s="52" t="s">
        <v>88</v>
      </c>
      <c r="B38" s="22" t="s">
        <v>232</v>
      </c>
      <c r="C38" s="19" t="s">
        <v>154</v>
      </c>
      <c r="D38" s="19" t="s">
        <v>78</v>
      </c>
      <c r="E38" s="19" t="s">
        <v>137</v>
      </c>
      <c r="F38" s="60" t="s">
        <v>73</v>
      </c>
      <c r="G38" s="43">
        <v>46072</v>
      </c>
      <c r="H38" s="30">
        <v>14</v>
      </c>
      <c r="I38" s="31">
        <f t="shared" si="1"/>
        <v>46086</v>
      </c>
      <c r="J38" s="81">
        <f t="shared" ca="1" si="3"/>
        <v>0.35714285714285715</v>
      </c>
      <c r="K38" s="19" t="s">
        <v>149</v>
      </c>
    </row>
    <row r="39" spans="1:11" ht="40.549999999999997" customHeight="1" outlineLevel="1" x14ac:dyDescent="0.3">
      <c r="A39" s="51" t="s">
        <v>88</v>
      </c>
      <c r="B39" s="14" t="s">
        <v>232</v>
      </c>
      <c r="C39" s="13" t="s">
        <v>191</v>
      </c>
      <c r="D39" s="13" t="s">
        <v>231</v>
      </c>
      <c r="E39" s="13" t="s">
        <v>137</v>
      </c>
      <c r="F39" s="61" t="s">
        <v>73</v>
      </c>
      <c r="G39" s="44">
        <v>46072</v>
      </c>
      <c r="H39" s="34">
        <v>14</v>
      </c>
      <c r="I39" s="33">
        <f t="shared" si="1"/>
        <v>46086</v>
      </c>
      <c r="J39" s="82">
        <f t="shared" ca="1" si="3"/>
        <v>0.35714285714285715</v>
      </c>
      <c r="K39" s="13" t="s">
        <v>150</v>
      </c>
    </row>
    <row r="40" spans="1:11" ht="35.25" customHeight="1" outlineLevel="1" x14ac:dyDescent="0.3">
      <c r="A40" s="51" t="s">
        <v>88</v>
      </c>
      <c r="B40" s="14" t="s">
        <v>232</v>
      </c>
      <c r="C40" s="13" t="s">
        <v>152</v>
      </c>
      <c r="D40" s="13" t="s">
        <v>336</v>
      </c>
      <c r="E40" s="13" t="s">
        <v>137</v>
      </c>
      <c r="F40" s="61" t="s">
        <v>73</v>
      </c>
      <c r="G40" s="44">
        <v>46072</v>
      </c>
      <c r="H40" s="34">
        <v>14</v>
      </c>
      <c r="I40" s="33">
        <f t="shared" si="1"/>
        <v>46086</v>
      </c>
      <c r="J40" s="82">
        <f t="shared" ca="1" si="3"/>
        <v>0.35714285714285715</v>
      </c>
      <c r="K40" s="13" t="s">
        <v>290</v>
      </c>
    </row>
    <row r="41" spans="1:11" ht="35.25" customHeight="1" outlineLevel="1" x14ac:dyDescent="0.3">
      <c r="A41" s="51" t="s">
        <v>88</v>
      </c>
      <c r="B41" s="14" t="s">
        <v>232</v>
      </c>
      <c r="C41" s="13" t="s">
        <v>233</v>
      </c>
      <c r="D41" s="13" t="s">
        <v>222</v>
      </c>
      <c r="E41" s="13" t="s">
        <v>339</v>
      </c>
      <c r="F41" s="61" t="s">
        <v>6</v>
      </c>
      <c r="G41" s="44">
        <v>46077</v>
      </c>
      <c r="H41" s="34">
        <v>14</v>
      </c>
      <c r="I41" s="33">
        <f t="shared" si="1"/>
        <v>46091</v>
      </c>
      <c r="J41" s="82">
        <f t="shared" ca="1" si="3"/>
        <v>0</v>
      </c>
      <c r="K41" s="13" t="s">
        <v>223</v>
      </c>
    </row>
    <row r="42" spans="1:11" ht="35.25" customHeight="1" outlineLevel="1" x14ac:dyDescent="0.3">
      <c r="A42" s="51" t="s">
        <v>88</v>
      </c>
      <c r="B42" s="14" t="s">
        <v>232</v>
      </c>
      <c r="C42" s="13" t="s">
        <v>234</v>
      </c>
      <c r="D42" s="13" t="s">
        <v>224</v>
      </c>
      <c r="E42" s="13" t="s">
        <v>337</v>
      </c>
      <c r="F42" s="61" t="s">
        <v>73</v>
      </c>
      <c r="G42" s="44">
        <v>46072</v>
      </c>
      <c r="H42" s="34">
        <v>14</v>
      </c>
      <c r="I42" s="33">
        <f t="shared" si="1"/>
        <v>46086</v>
      </c>
      <c r="J42" s="82">
        <f t="shared" ca="1" si="3"/>
        <v>0.35714285714285715</v>
      </c>
      <c r="K42" s="13" t="s">
        <v>225</v>
      </c>
    </row>
    <row r="43" spans="1:11" ht="35.25" customHeight="1" outlineLevel="1" x14ac:dyDescent="0.3">
      <c r="A43" s="50" t="s">
        <v>88</v>
      </c>
      <c r="B43" s="14" t="s">
        <v>232</v>
      </c>
      <c r="C43" s="14" t="s">
        <v>229</v>
      </c>
      <c r="D43" s="15" t="s">
        <v>77</v>
      </c>
      <c r="E43" s="13" t="s">
        <v>123</v>
      </c>
      <c r="F43" s="64" t="s">
        <v>73</v>
      </c>
      <c r="G43" s="44">
        <v>46072</v>
      </c>
      <c r="H43" s="37">
        <v>14</v>
      </c>
      <c r="I43" s="33">
        <f>G43+H43</f>
        <v>46086</v>
      </c>
      <c r="J43" s="82">
        <f t="shared" ca="1" si="3"/>
        <v>0.35714285714285715</v>
      </c>
      <c r="K43" s="14" t="s">
        <v>146</v>
      </c>
    </row>
    <row r="44" spans="1:11" ht="35.25" customHeight="1" outlineLevel="1" x14ac:dyDescent="0.3">
      <c r="A44" s="51" t="s">
        <v>88</v>
      </c>
      <c r="B44" s="14" t="s">
        <v>232</v>
      </c>
      <c r="C44" s="12" t="s">
        <v>155</v>
      </c>
      <c r="D44" s="12" t="s">
        <v>145</v>
      </c>
      <c r="E44" s="13" t="s">
        <v>137</v>
      </c>
      <c r="F44" s="65" t="s">
        <v>73</v>
      </c>
      <c r="G44" s="44">
        <v>46072</v>
      </c>
      <c r="H44" s="37">
        <v>42</v>
      </c>
      <c r="I44" s="33">
        <f>G44+H44</f>
        <v>46114</v>
      </c>
      <c r="J44" s="82">
        <f t="shared" ca="1" si="3"/>
        <v>0.11904761904761904</v>
      </c>
      <c r="K44" s="13" t="s">
        <v>147</v>
      </c>
    </row>
    <row r="45" spans="1:11" ht="35.25" customHeight="1" outlineLevel="1" x14ac:dyDescent="0.3">
      <c r="A45" s="51" t="s">
        <v>88</v>
      </c>
      <c r="B45" s="14" t="s">
        <v>232</v>
      </c>
      <c r="C45" s="12" t="s">
        <v>253</v>
      </c>
      <c r="D45" s="12" t="s">
        <v>171</v>
      </c>
      <c r="E45" s="13" t="s">
        <v>137</v>
      </c>
      <c r="F45" s="65" t="s">
        <v>73</v>
      </c>
      <c r="G45" s="44">
        <v>46072</v>
      </c>
      <c r="H45" s="37">
        <v>42</v>
      </c>
      <c r="I45" s="33">
        <f>G45+H45</f>
        <v>46114</v>
      </c>
      <c r="J45" s="82">
        <f t="shared" ca="1" si="3"/>
        <v>0.11904761904761904</v>
      </c>
      <c r="K45" s="13" t="s">
        <v>148</v>
      </c>
    </row>
    <row r="46" spans="1:11" ht="35.25" customHeight="1" outlineLevel="1" x14ac:dyDescent="0.3">
      <c r="A46" s="50" t="s">
        <v>88</v>
      </c>
      <c r="B46" s="14" t="s">
        <v>232</v>
      </c>
      <c r="C46" s="15" t="s">
        <v>177</v>
      </c>
      <c r="D46" s="15" t="s">
        <v>254</v>
      </c>
      <c r="E46" s="14" t="s">
        <v>136</v>
      </c>
      <c r="F46" s="61" t="s">
        <v>6</v>
      </c>
      <c r="G46" s="36">
        <f>MAX(I38:I45)</f>
        <v>46114</v>
      </c>
      <c r="H46" s="37">
        <v>20</v>
      </c>
      <c r="I46" s="36">
        <f>G46+H46</f>
        <v>46134</v>
      </c>
      <c r="J46" s="83">
        <f t="shared" ca="1" si="3"/>
        <v>0</v>
      </c>
      <c r="K46" s="14"/>
    </row>
    <row r="47" spans="1:11" s="74" customFormat="1" ht="24.6" customHeight="1" x14ac:dyDescent="0.3">
      <c r="A47" s="68"/>
      <c r="B47" s="68" t="s">
        <v>255</v>
      </c>
      <c r="C47" s="69"/>
      <c r="D47" s="69"/>
      <c r="E47" s="69"/>
      <c r="F47" s="70"/>
      <c r="G47" s="71">
        <f>MIN(G48:G56)</f>
        <v>46061</v>
      </c>
      <c r="H47" s="72">
        <f>I47-G47</f>
        <v>100</v>
      </c>
      <c r="I47" s="71">
        <f>MAX(I48:I56)</f>
        <v>46161</v>
      </c>
      <c r="J47" s="73"/>
      <c r="K47" s="69"/>
    </row>
    <row r="48" spans="1:11" ht="33.200000000000003" customHeight="1" outlineLevel="1" x14ac:dyDescent="0.3">
      <c r="A48" s="51" t="s">
        <v>88</v>
      </c>
      <c r="B48" s="13" t="s">
        <v>255</v>
      </c>
      <c r="C48" s="13" t="s">
        <v>333</v>
      </c>
      <c r="D48" s="13" t="s">
        <v>329</v>
      </c>
      <c r="E48" s="13" t="s">
        <v>137</v>
      </c>
      <c r="F48" s="61" t="s">
        <v>74</v>
      </c>
      <c r="G48" s="45">
        <v>46061</v>
      </c>
      <c r="H48" s="34">
        <v>1</v>
      </c>
      <c r="I48" s="33">
        <f>G48+H48</f>
        <v>46062</v>
      </c>
      <c r="J48" s="82">
        <f t="shared" ca="1" si="3"/>
        <v>1</v>
      </c>
      <c r="K48" s="13"/>
    </row>
    <row r="49" spans="1:11" ht="33.200000000000003" customHeight="1" outlineLevel="1" x14ac:dyDescent="0.3">
      <c r="A49" s="51" t="s">
        <v>88</v>
      </c>
      <c r="B49" s="13" t="s">
        <v>255</v>
      </c>
      <c r="C49" s="13" t="s">
        <v>334</v>
      </c>
      <c r="D49" s="13" t="s">
        <v>330</v>
      </c>
      <c r="E49" s="13" t="s">
        <v>137</v>
      </c>
      <c r="F49" s="61" t="s">
        <v>74</v>
      </c>
      <c r="G49" s="45">
        <v>46070</v>
      </c>
      <c r="H49" s="34">
        <v>1</v>
      </c>
      <c r="I49" s="33">
        <f t="shared" ref="I49:I56" si="4">G49+H49</f>
        <v>46071</v>
      </c>
      <c r="J49" s="82">
        <f t="shared" ref="J49:J56" ca="1" si="5">IFERROR(MAX(0,MIN(1,(TODAY()-G49)/(I49-G49))),"")</f>
        <v>1</v>
      </c>
      <c r="K49" s="13"/>
    </row>
    <row r="50" spans="1:11" ht="33.200000000000003" customHeight="1" outlineLevel="1" x14ac:dyDescent="0.3">
      <c r="A50" s="51" t="s">
        <v>88</v>
      </c>
      <c r="B50" s="13" t="s">
        <v>255</v>
      </c>
      <c r="C50" s="13" t="s">
        <v>332</v>
      </c>
      <c r="D50" s="13" t="s">
        <v>331</v>
      </c>
      <c r="E50" s="13" t="s">
        <v>137</v>
      </c>
      <c r="F50" s="61" t="s">
        <v>6</v>
      </c>
      <c r="G50" s="45">
        <v>46086</v>
      </c>
      <c r="H50" s="34">
        <v>1</v>
      </c>
      <c r="I50" s="33">
        <f t="shared" si="4"/>
        <v>46087</v>
      </c>
      <c r="J50" s="82">
        <f t="shared" ca="1" si="5"/>
        <v>0</v>
      </c>
      <c r="K50" s="13" t="s">
        <v>103</v>
      </c>
    </row>
    <row r="51" spans="1:11" ht="33.200000000000003" customHeight="1" outlineLevel="1" x14ac:dyDescent="0.3">
      <c r="A51" s="51" t="s">
        <v>88</v>
      </c>
      <c r="B51" s="13" t="s">
        <v>255</v>
      </c>
      <c r="C51" s="13" t="s">
        <v>327</v>
      </c>
      <c r="D51" s="13" t="s">
        <v>324</v>
      </c>
      <c r="E51" s="13" t="s">
        <v>137</v>
      </c>
      <c r="F51" s="61" t="s">
        <v>73</v>
      </c>
      <c r="G51" s="45">
        <v>46076</v>
      </c>
      <c r="H51" s="34">
        <v>14</v>
      </c>
      <c r="I51" s="33">
        <f t="shared" si="4"/>
        <v>46090</v>
      </c>
      <c r="J51" s="82">
        <f t="shared" ca="1" si="5"/>
        <v>7.1428571428571425E-2</v>
      </c>
      <c r="K51" s="13"/>
    </row>
    <row r="52" spans="1:11" ht="33.200000000000003" customHeight="1" outlineLevel="1" x14ac:dyDescent="0.3">
      <c r="A52" s="51" t="s">
        <v>88</v>
      </c>
      <c r="B52" s="13" t="s">
        <v>255</v>
      </c>
      <c r="C52" s="13" t="s">
        <v>327</v>
      </c>
      <c r="D52" s="13" t="s">
        <v>325</v>
      </c>
      <c r="E52" s="13" t="s">
        <v>137</v>
      </c>
      <c r="F52" s="61" t="s">
        <v>6</v>
      </c>
      <c r="G52" s="33">
        <f>I51</f>
        <v>46090</v>
      </c>
      <c r="H52" s="34">
        <v>7</v>
      </c>
      <c r="I52" s="33">
        <f t="shared" si="4"/>
        <v>46097</v>
      </c>
      <c r="J52" s="82">
        <f t="shared" ca="1" si="5"/>
        <v>0</v>
      </c>
      <c r="K52" s="13"/>
    </row>
    <row r="53" spans="1:11" ht="33.200000000000003" customHeight="1" outlineLevel="1" x14ac:dyDescent="0.3">
      <c r="A53" s="51" t="s">
        <v>88</v>
      </c>
      <c r="B53" s="13" t="s">
        <v>255</v>
      </c>
      <c r="C53" s="13" t="s">
        <v>328</v>
      </c>
      <c r="D53" s="13" t="s">
        <v>326</v>
      </c>
      <c r="E53" s="13" t="s">
        <v>137</v>
      </c>
      <c r="F53" s="61" t="s">
        <v>73</v>
      </c>
      <c r="G53" s="45">
        <v>46076</v>
      </c>
      <c r="H53" s="34">
        <v>14</v>
      </c>
      <c r="I53" s="33">
        <f t="shared" si="4"/>
        <v>46090</v>
      </c>
      <c r="J53" s="82">
        <f t="shared" ca="1" si="5"/>
        <v>7.1428571428571425E-2</v>
      </c>
      <c r="K53" s="13"/>
    </row>
    <row r="54" spans="1:11" ht="33.200000000000003" customHeight="1" outlineLevel="1" x14ac:dyDescent="0.3">
      <c r="A54" s="51" t="s">
        <v>88</v>
      </c>
      <c r="B54" s="13" t="s">
        <v>255</v>
      </c>
      <c r="C54" s="13" t="s">
        <v>328</v>
      </c>
      <c r="D54" s="13" t="s">
        <v>325</v>
      </c>
      <c r="E54" s="13" t="s">
        <v>137</v>
      </c>
      <c r="F54" s="61" t="s">
        <v>6</v>
      </c>
      <c r="G54" s="33">
        <f>I53</f>
        <v>46090</v>
      </c>
      <c r="H54" s="34">
        <v>7</v>
      </c>
      <c r="I54" s="33">
        <f t="shared" si="4"/>
        <v>46097</v>
      </c>
      <c r="J54" s="82">
        <f t="shared" ca="1" si="5"/>
        <v>0</v>
      </c>
      <c r="K54" s="13"/>
    </row>
    <row r="55" spans="1:11" ht="33.200000000000003" customHeight="1" outlineLevel="1" x14ac:dyDescent="0.3">
      <c r="A55" s="21" t="s">
        <v>88</v>
      </c>
      <c r="B55" s="13" t="s">
        <v>255</v>
      </c>
      <c r="C55" s="13" t="s">
        <v>170</v>
      </c>
      <c r="D55" s="13" t="s">
        <v>256</v>
      </c>
      <c r="E55" s="13" t="s">
        <v>230</v>
      </c>
      <c r="F55" s="61" t="s">
        <v>6</v>
      </c>
      <c r="G55" s="49">
        <v>46156</v>
      </c>
      <c r="H55" s="34">
        <v>1</v>
      </c>
      <c r="I55" s="33">
        <f t="shared" si="4"/>
        <v>46157</v>
      </c>
      <c r="J55" s="82">
        <f t="shared" ca="1" si="5"/>
        <v>0</v>
      </c>
      <c r="K55" s="13"/>
    </row>
    <row r="56" spans="1:11" ht="33.200000000000003" customHeight="1" outlineLevel="1" x14ac:dyDescent="0.3">
      <c r="A56" s="51" t="s">
        <v>88</v>
      </c>
      <c r="B56" s="13" t="s">
        <v>255</v>
      </c>
      <c r="C56" s="13" t="s">
        <v>184</v>
      </c>
      <c r="D56" s="12" t="s">
        <v>257</v>
      </c>
      <c r="E56" s="13" t="s">
        <v>258</v>
      </c>
      <c r="F56" s="61" t="s">
        <v>6</v>
      </c>
      <c r="G56" s="33">
        <f>I55</f>
        <v>46157</v>
      </c>
      <c r="H56" s="34">
        <v>4</v>
      </c>
      <c r="I56" s="33">
        <f t="shared" si="4"/>
        <v>46161</v>
      </c>
      <c r="J56" s="82">
        <f t="shared" ca="1" si="5"/>
        <v>0</v>
      </c>
      <c r="K56" s="13" t="s">
        <v>151</v>
      </c>
    </row>
    <row r="57" spans="1:11" s="74" customFormat="1" ht="24.6" customHeight="1" x14ac:dyDescent="0.3">
      <c r="A57" s="68"/>
      <c r="B57" s="68" t="s">
        <v>5</v>
      </c>
      <c r="C57" s="69"/>
      <c r="D57" s="69"/>
      <c r="E57" s="69"/>
      <c r="F57" s="70"/>
      <c r="G57" s="71">
        <f>MIN(G58:G75)</f>
        <v>46082</v>
      </c>
      <c r="H57" s="72">
        <f>I57-G57</f>
        <v>131</v>
      </c>
      <c r="I57" s="71">
        <f>MAX(I58:I75)</f>
        <v>46213</v>
      </c>
      <c r="J57" s="73"/>
      <c r="K57" s="69"/>
    </row>
    <row r="58" spans="1:11" ht="37.6" customHeight="1" outlineLevel="1" x14ac:dyDescent="0.3">
      <c r="A58" s="51" t="s">
        <v>4</v>
      </c>
      <c r="B58" s="13" t="s">
        <v>5</v>
      </c>
      <c r="C58" s="13" t="s">
        <v>8</v>
      </c>
      <c r="D58" s="13" t="s">
        <v>106</v>
      </c>
      <c r="E58" s="13" t="s">
        <v>339</v>
      </c>
      <c r="F58" s="61" t="s">
        <v>6</v>
      </c>
      <c r="G58" s="45">
        <v>46082</v>
      </c>
      <c r="H58" s="34">
        <v>14</v>
      </c>
      <c r="I58" s="33">
        <f t="shared" ref="I58:I86" si="6">G58+H58</f>
        <v>46096</v>
      </c>
      <c r="J58" s="82">
        <f t="shared" ca="1" si="3"/>
        <v>0</v>
      </c>
      <c r="K58" s="13" t="s">
        <v>201</v>
      </c>
    </row>
    <row r="59" spans="1:11" ht="37.6" customHeight="1" outlineLevel="1" x14ac:dyDescent="0.3">
      <c r="A59" s="51" t="s">
        <v>4</v>
      </c>
      <c r="B59" s="13" t="s">
        <v>5</v>
      </c>
      <c r="C59" s="13" t="s">
        <v>344</v>
      </c>
      <c r="D59" s="13" t="s">
        <v>109</v>
      </c>
      <c r="E59" s="13" t="s">
        <v>338</v>
      </c>
      <c r="F59" s="61" t="s">
        <v>6</v>
      </c>
      <c r="G59" s="33">
        <f>I58</f>
        <v>46096</v>
      </c>
      <c r="H59" s="34">
        <v>7</v>
      </c>
      <c r="I59" s="33">
        <f t="shared" si="6"/>
        <v>46103</v>
      </c>
      <c r="J59" s="82">
        <f t="shared" ca="1" si="3"/>
        <v>0</v>
      </c>
      <c r="K59" s="13" t="s">
        <v>64</v>
      </c>
    </row>
    <row r="60" spans="1:11" ht="37.6" customHeight="1" outlineLevel="1" x14ac:dyDescent="0.3">
      <c r="A60" s="51" t="s">
        <v>4</v>
      </c>
      <c r="B60" s="13" t="s">
        <v>5</v>
      </c>
      <c r="C60" s="13" t="s">
        <v>206</v>
      </c>
      <c r="D60" s="12" t="s">
        <v>194</v>
      </c>
      <c r="E60" s="13" t="s">
        <v>338</v>
      </c>
      <c r="F60" s="61" t="s">
        <v>6</v>
      </c>
      <c r="G60" s="45">
        <v>46096</v>
      </c>
      <c r="H60" s="34">
        <v>14</v>
      </c>
      <c r="I60" s="33">
        <f t="shared" si="6"/>
        <v>46110</v>
      </c>
      <c r="J60" s="82">
        <f t="shared" ca="1" si="3"/>
        <v>0</v>
      </c>
      <c r="K60" s="13" t="s">
        <v>62</v>
      </c>
    </row>
    <row r="61" spans="1:11" ht="37.6" customHeight="1" outlineLevel="1" x14ac:dyDescent="0.3">
      <c r="A61" s="53" t="s">
        <v>25</v>
      </c>
      <c r="B61" s="19" t="s">
        <v>211</v>
      </c>
      <c r="C61" s="13" t="s">
        <v>212</v>
      </c>
      <c r="D61" s="13" t="s">
        <v>213</v>
      </c>
      <c r="E61" s="17" t="s">
        <v>352</v>
      </c>
      <c r="F61" s="61" t="s">
        <v>6</v>
      </c>
      <c r="G61" s="45">
        <v>46082</v>
      </c>
      <c r="H61" s="34">
        <v>14</v>
      </c>
      <c r="I61" s="33">
        <f t="shared" si="6"/>
        <v>46096</v>
      </c>
      <c r="J61" s="82">
        <f t="shared" ca="1" si="3"/>
        <v>0</v>
      </c>
      <c r="K61" s="13"/>
    </row>
    <row r="62" spans="1:11" ht="37.6" customHeight="1" outlineLevel="1" x14ac:dyDescent="0.3">
      <c r="A62" s="51" t="s">
        <v>4</v>
      </c>
      <c r="B62" s="13" t="s">
        <v>5</v>
      </c>
      <c r="C62" s="13" t="s">
        <v>342</v>
      </c>
      <c r="D62" s="13" t="s">
        <v>343</v>
      </c>
      <c r="E62" s="20" t="s">
        <v>258</v>
      </c>
      <c r="F62" s="61" t="s">
        <v>6</v>
      </c>
      <c r="G62" s="45">
        <v>46114</v>
      </c>
      <c r="H62" s="34">
        <v>21</v>
      </c>
      <c r="I62" s="33">
        <f t="shared" ref="I62" si="7">G62+H62</f>
        <v>46135</v>
      </c>
      <c r="J62" s="82">
        <f t="shared" ref="J62" ca="1" si="8">IFERROR(MAX(0,MIN(1,(TODAY()-G62)/(I62-G62))),"")</f>
        <v>0</v>
      </c>
      <c r="K62" s="13"/>
    </row>
    <row r="63" spans="1:11" ht="37.6" customHeight="1" outlineLevel="1" x14ac:dyDescent="0.3">
      <c r="A63" s="51" t="s">
        <v>4</v>
      </c>
      <c r="B63" s="13" t="s">
        <v>5</v>
      </c>
      <c r="C63" s="13" t="s">
        <v>96</v>
      </c>
      <c r="D63" s="13" t="s">
        <v>259</v>
      </c>
      <c r="E63" s="13" t="s">
        <v>339</v>
      </c>
      <c r="F63" s="61" t="s">
        <v>6</v>
      </c>
      <c r="G63" s="33">
        <f>I62</f>
        <v>46135</v>
      </c>
      <c r="H63" s="34">
        <v>7</v>
      </c>
      <c r="I63" s="33">
        <f t="shared" si="6"/>
        <v>46142</v>
      </c>
      <c r="J63" s="82">
        <f t="shared" ca="1" si="3"/>
        <v>0</v>
      </c>
      <c r="K63" s="13" t="s">
        <v>107</v>
      </c>
    </row>
    <row r="64" spans="1:11" ht="37.6" customHeight="1" outlineLevel="1" x14ac:dyDescent="0.3">
      <c r="A64" s="51" t="s">
        <v>4</v>
      </c>
      <c r="B64" s="13" t="s">
        <v>5</v>
      </c>
      <c r="C64" s="13" t="s">
        <v>63</v>
      </c>
      <c r="D64" s="13" t="s">
        <v>108</v>
      </c>
      <c r="E64" s="13" t="s">
        <v>338</v>
      </c>
      <c r="F64" s="61" t="s">
        <v>6</v>
      </c>
      <c r="G64" s="45">
        <v>46142</v>
      </c>
      <c r="H64" s="34">
        <v>14</v>
      </c>
      <c r="I64" s="33">
        <f t="shared" si="6"/>
        <v>46156</v>
      </c>
      <c r="J64" s="82">
        <f t="shared" ca="1" si="3"/>
        <v>0</v>
      </c>
      <c r="K64" s="13" t="s">
        <v>86</v>
      </c>
    </row>
    <row r="65" spans="1:11" ht="37.6" customHeight="1" outlineLevel="1" x14ac:dyDescent="0.3">
      <c r="A65" s="51" t="s">
        <v>4</v>
      </c>
      <c r="B65" s="13" t="s">
        <v>5</v>
      </c>
      <c r="C65" s="13" t="s">
        <v>207</v>
      </c>
      <c r="D65" s="13" t="s">
        <v>111</v>
      </c>
      <c r="E65" s="13" t="s">
        <v>339</v>
      </c>
      <c r="F65" s="61" t="s">
        <v>6</v>
      </c>
      <c r="G65" s="33">
        <f>I56</f>
        <v>46161</v>
      </c>
      <c r="H65" s="34">
        <v>7</v>
      </c>
      <c r="I65" s="33">
        <f t="shared" si="6"/>
        <v>46168</v>
      </c>
      <c r="J65" s="82">
        <f t="shared" ca="1" si="3"/>
        <v>0</v>
      </c>
      <c r="K65" s="13" t="s">
        <v>87</v>
      </c>
    </row>
    <row r="66" spans="1:11" ht="37.6" customHeight="1" outlineLevel="1" x14ac:dyDescent="0.3">
      <c r="A66" s="51" t="s">
        <v>4</v>
      </c>
      <c r="B66" s="13" t="s">
        <v>5</v>
      </c>
      <c r="C66" s="13" t="s">
        <v>195</v>
      </c>
      <c r="D66" s="13" t="s">
        <v>260</v>
      </c>
      <c r="E66" s="13" t="s">
        <v>338</v>
      </c>
      <c r="F66" s="61" t="s">
        <v>6</v>
      </c>
      <c r="G66" s="45">
        <v>46127</v>
      </c>
      <c r="H66" s="34">
        <v>7</v>
      </c>
      <c r="I66" s="33">
        <f t="shared" si="6"/>
        <v>46134</v>
      </c>
      <c r="J66" s="82">
        <f t="shared" ca="1" si="3"/>
        <v>0</v>
      </c>
      <c r="K66" s="13" t="s">
        <v>104</v>
      </c>
    </row>
    <row r="67" spans="1:11" ht="37.6" customHeight="1" outlineLevel="1" x14ac:dyDescent="0.3">
      <c r="A67" s="51" t="s">
        <v>4</v>
      </c>
      <c r="B67" s="13" t="s">
        <v>5</v>
      </c>
      <c r="C67" s="13" t="s">
        <v>196</v>
      </c>
      <c r="D67" s="13" t="s">
        <v>261</v>
      </c>
      <c r="E67" s="13" t="s">
        <v>338</v>
      </c>
      <c r="F67" s="61" t="s">
        <v>6</v>
      </c>
      <c r="G67" s="45">
        <v>46127</v>
      </c>
      <c r="H67" s="34">
        <v>7</v>
      </c>
      <c r="I67" s="33">
        <f t="shared" si="6"/>
        <v>46134</v>
      </c>
      <c r="J67" s="82">
        <f t="shared" ca="1" si="3"/>
        <v>0</v>
      </c>
      <c r="K67" s="13"/>
    </row>
    <row r="68" spans="1:11" ht="37.6" customHeight="1" outlineLevel="1" x14ac:dyDescent="0.3">
      <c r="A68" s="51" t="s">
        <v>4</v>
      </c>
      <c r="B68" s="13" t="s">
        <v>5</v>
      </c>
      <c r="C68" s="13" t="s">
        <v>198</v>
      </c>
      <c r="D68" s="13" t="s">
        <v>197</v>
      </c>
      <c r="E68" s="13" t="s">
        <v>338</v>
      </c>
      <c r="F68" s="61" t="s">
        <v>6</v>
      </c>
      <c r="G68" s="33">
        <f>I56</f>
        <v>46161</v>
      </c>
      <c r="H68" s="34">
        <v>43</v>
      </c>
      <c r="I68" s="33">
        <f t="shared" si="6"/>
        <v>46204</v>
      </c>
      <c r="J68" s="82">
        <f t="shared" ca="1" si="3"/>
        <v>0</v>
      </c>
      <c r="K68" s="13"/>
    </row>
    <row r="69" spans="1:11" ht="37.6" customHeight="1" outlineLevel="1" x14ac:dyDescent="0.3">
      <c r="A69" s="51" t="s">
        <v>4</v>
      </c>
      <c r="B69" s="13" t="s">
        <v>5</v>
      </c>
      <c r="C69" s="13" t="s">
        <v>29</v>
      </c>
      <c r="D69" s="13" t="s">
        <v>203</v>
      </c>
      <c r="E69" s="13" t="s">
        <v>339</v>
      </c>
      <c r="F69" s="61" t="s">
        <v>6</v>
      </c>
      <c r="G69" s="33">
        <f>I56</f>
        <v>46161</v>
      </c>
      <c r="H69" s="34">
        <v>7</v>
      </c>
      <c r="I69" s="33">
        <f t="shared" si="6"/>
        <v>46168</v>
      </c>
      <c r="J69" s="82">
        <f t="shared" ca="1" si="3"/>
        <v>0</v>
      </c>
      <c r="K69" s="13" t="s">
        <v>193</v>
      </c>
    </row>
    <row r="70" spans="1:11" ht="37.6" customHeight="1" outlineLevel="1" x14ac:dyDescent="0.3">
      <c r="A70" s="51" t="s">
        <v>4</v>
      </c>
      <c r="B70" s="13" t="s">
        <v>5</v>
      </c>
      <c r="C70" s="13" t="s">
        <v>9</v>
      </c>
      <c r="D70" s="13" t="s">
        <v>110</v>
      </c>
      <c r="E70" s="13" t="s">
        <v>339</v>
      </c>
      <c r="F70" s="61" t="s">
        <v>6</v>
      </c>
      <c r="G70" s="45">
        <v>46127</v>
      </c>
      <c r="H70" s="34">
        <v>21</v>
      </c>
      <c r="I70" s="33">
        <f t="shared" si="6"/>
        <v>46148</v>
      </c>
      <c r="J70" s="82">
        <f t="shared" ca="1" si="3"/>
        <v>0</v>
      </c>
      <c r="K70" s="13" t="s">
        <v>95</v>
      </c>
    </row>
    <row r="71" spans="1:11" ht="37.6" customHeight="1" outlineLevel="1" x14ac:dyDescent="0.3">
      <c r="A71" s="51" t="s">
        <v>4</v>
      </c>
      <c r="B71" s="13" t="s">
        <v>5</v>
      </c>
      <c r="C71" s="13" t="s">
        <v>65</v>
      </c>
      <c r="D71" s="13" t="s">
        <v>263</v>
      </c>
      <c r="E71" s="13" t="s">
        <v>338</v>
      </c>
      <c r="F71" s="61" t="s">
        <v>6</v>
      </c>
      <c r="G71" s="33">
        <f>I70</f>
        <v>46148</v>
      </c>
      <c r="H71" s="34">
        <v>21</v>
      </c>
      <c r="I71" s="33">
        <f t="shared" si="6"/>
        <v>46169</v>
      </c>
      <c r="J71" s="82">
        <f t="shared" ca="1" si="3"/>
        <v>0</v>
      </c>
      <c r="K71" s="13" t="s">
        <v>264</v>
      </c>
    </row>
    <row r="72" spans="1:11" ht="37.6" customHeight="1" outlineLevel="1" x14ac:dyDescent="0.3">
      <c r="A72" s="51" t="s">
        <v>4</v>
      </c>
      <c r="B72" s="13" t="s">
        <v>5</v>
      </c>
      <c r="C72" s="13" t="s">
        <v>219</v>
      </c>
      <c r="D72" s="13" t="s">
        <v>262</v>
      </c>
      <c r="E72" s="13" t="s">
        <v>339</v>
      </c>
      <c r="F72" s="61" t="s">
        <v>6</v>
      </c>
      <c r="G72" s="33">
        <f>I68</f>
        <v>46204</v>
      </c>
      <c r="H72" s="34">
        <v>1</v>
      </c>
      <c r="I72" s="33">
        <f t="shared" si="6"/>
        <v>46205</v>
      </c>
      <c r="J72" s="82">
        <f t="shared" ca="1" si="3"/>
        <v>0</v>
      </c>
      <c r="K72" s="13" t="s">
        <v>217</v>
      </c>
    </row>
    <row r="73" spans="1:11" ht="37.6" customHeight="1" outlineLevel="1" x14ac:dyDescent="0.3">
      <c r="A73" s="51" t="s">
        <v>4</v>
      </c>
      <c r="B73" s="13" t="s">
        <v>5</v>
      </c>
      <c r="C73" s="13" t="s">
        <v>99</v>
      </c>
      <c r="D73" s="13" t="s">
        <v>113</v>
      </c>
      <c r="E73" s="13" t="s">
        <v>338</v>
      </c>
      <c r="F73" s="61" t="s">
        <v>6</v>
      </c>
      <c r="G73" s="33">
        <f>I72</f>
        <v>46205</v>
      </c>
      <c r="H73" s="34">
        <v>2</v>
      </c>
      <c r="I73" s="33">
        <f t="shared" si="6"/>
        <v>46207</v>
      </c>
      <c r="J73" s="82">
        <f t="shared" ca="1" si="3"/>
        <v>0</v>
      </c>
      <c r="K73" s="13" t="s">
        <v>66</v>
      </c>
    </row>
    <row r="74" spans="1:11" ht="37.6" customHeight="1" outlineLevel="1" x14ac:dyDescent="0.3">
      <c r="A74" s="51" t="s">
        <v>4</v>
      </c>
      <c r="B74" s="13" t="s">
        <v>5</v>
      </c>
      <c r="C74" s="13" t="s">
        <v>97</v>
      </c>
      <c r="D74" s="13" t="s">
        <v>112</v>
      </c>
      <c r="E74" s="13" t="s">
        <v>338</v>
      </c>
      <c r="F74" s="61" t="s">
        <v>6</v>
      </c>
      <c r="G74" s="33">
        <f>I73</f>
        <v>46207</v>
      </c>
      <c r="H74" s="34">
        <v>3</v>
      </c>
      <c r="I74" s="33">
        <f t="shared" si="6"/>
        <v>46210</v>
      </c>
      <c r="J74" s="82">
        <f t="shared" ca="1" si="3"/>
        <v>0</v>
      </c>
      <c r="K74" s="13"/>
    </row>
    <row r="75" spans="1:11" ht="37.6" customHeight="1" outlineLevel="1" x14ac:dyDescent="0.3">
      <c r="A75" s="51" t="s">
        <v>4</v>
      </c>
      <c r="B75" s="13" t="s">
        <v>5</v>
      </c>
      <c r="C75" s="13" t="s">
        <v>10</v>
      </c>
      <c r="D75" s="13" t="s">
        <v>11</v>
      </c>
      <c r="E75" s="13" t="s">
        <v>338</v>
      </c>
      <c r="F75" s="61" t="s">
        <v>6</v>
      </c>
      <c r="G75" s="33">
        <f>I74</f>
        <v>46210</v>
      </c>
      <c r="H75" s="34">
        <v>3</v>
      </c>
      <c r="I75" s="33">
        <f t="shared" si="6"/>
        <v>46213</v>
      </c>
      <c r="J75" s="82">
        <f t="shared" ca="1" si="3"/>
        <v>0</v>
      </c>
      <c r="K75" s="13" t="s">
        <v>12</v>
      </c>
    </row>
    <row r="76" spans="1:11" s="74" customFormat="1" ht="24.6" customHeight="1" x14ac:dyDescent="0.3">
      <c r="A76" s="68"/>
      <c r="B76" s="68" t="s">
        <v>98</v>
      </c>
      <c r="C76" s="69"/>
      <c r="D76" s="69"/>
      <c r="E76" s="69"/>
      <c r="F76" s="70"/>
      <c r="G76" s="71">
        <f>MIN(G77:G86)</f>
        <v>46213</v>
      </c>
      <c r="H76" s="72">
        <f>I76-G76</f>
        <v>14</v>
      </c>
      <c r="I76" s="71">
        <f>MAX(I77:I86)</f>
        <v>46227</v>
      </c>
      <c r="J76" s="73"/>
      <c r="K76" s="69"/>
    </row>
    <row r="77" spans="1:11" ht="35.25" customHeight="1" outlineLevel="1" x14ac:dyDescent="0.3">
      <c r="A77" s="28" t="s">
        <v>4</v>
      </c>
      <c r="B77" s="19" t="s">
        <v>98</v>
      </c>
      <c r="C77" s="19" t="s">
        <v>13</v>
      </c>
      <c r="D77" s="19" t="s">
        <v>14</v>
      </c>
      <c r="E77" s="19" t="s">
        <v>338</v>
      </c>
      <c r="F77" s="61" t="s">
        <v>6</v>
      </c>
      <c r="G77" s="31">
        <f>I75</f>
        <v>46213</v>
      </c>
      <c r="H77" s="30">
        <v>7</v>
      </c>
      <c r="I77" s="31">
        <f t="shared" si="6"/>
        <v>46220</v>
      </c>
      <c r="J77" s="81">
        <f t="shared" ref="J77:J126" ca="1" si="9">IFERROR(MAX(0,MIN(1,(TODAY()-G77)/(I77-G77))),"")</f>
        <v>0</v>
      </c>
      <c r="K77" s="19"/>
    </row>
    <row r="78" spans="1:11" ht="35.25" customHeight="1" outlineLevel="1" x14ac:dyDescent="0.3">
      <c r="A78" s="51" t="s">
        <v>4</v>
      </c>
      <c r="B78" s="13" t="s">
        <v>98</v>
      </c>
      <c r="C78" s="13" t="s">
        <v>67</v>
      </c>
      <c r="D78" s="13" t="s">
        <v>116</v>
      </c>
      <c r="E78" s="13" t="s">
        <v>288</v>
      </c>
      <c r="F78" s="61" t="s">
        <v>6</v>
      </c>
      <c r="G78" s="33">
        <f>I75</f>
        <v>46213</v>
      </c>
      <c r="H78" s="34">
        <v>7</v>
      </c>
      <c r="I78" s="33">
        <f t="shared" si="6"/>
        <v>46220</v>
      </c>
      <c r="J78" s="82">
        <f t="shared" ca="1" si="9"/>
        <v>0</v>
      </c>
      <c r="K78" s="13" t="s">
        <v>16</v>
      </c>
    </row>
    <row r="79" spans="1:11" ht="35.25" customHeight="1" outlineLevel="1" x14ac:dyDescent="0.3">
      <c r="A79" s="51" t="s">
        <v>4</v>
      </c>
      <c r="B79" s="13" t="s">
        <v>98</v>
      </c>
      <c r="C79" s="13" t="s">
        <v>17</v>
      </c>
      <c r="D79" s="13" t="s">
        <v>18</v>
      </c>
      <c r="E79" s="13" t="s">
        <v>288</v>
      </c>
      <c r="F79" s="61" t="s">
        <v>6</v>
      </c>
      <c r="G79" s="33">
        <f>I75</f>
        <v>46213</v>
      </c>
      <c r="H79" s="34">
        <v>14</v>
      </c>
      <c r="I79" s="33">
        <f t="shared" si="6"/>
        <v>46227</v>
      </c>
      <c r="J79" s="82">
        <f t="shared" ca="1" si="9"/>
        <v>0</v>
      </c>
      <c r="K79" s="13"/>
    </row>
    <row r="80" spans="1:11" ht="35.25" customHeight="1" outlineLevel="1" x14ac:dyDescent="0.3">
      <c r="A80" s="21" t="s">
        <v>4</v>
      </c>
      <c r="B80" s="13" t="s">
        <v>98</v>
      </c>
      <c r="C80" s="13" t="s">
        <v>19</v>
      </c>
      <c r="D80" s="13" t="s">
        <v>114</v>
      </c>
      <c r="E80" s="13" t="s">
        <v>338</v>
      </c>
      <c r="F80" s="61" t="s">
        <v>6</v>
      </c>
      <c r="G80" s="33">
        <f>I75</f>
        <v>46213</v>
      </c>
      <c r="H80" s="34">
        <v>7</v>
      </c>
      <c r="I80" s="33">
        <f t="shared" si="6"/>
        <v>46220</v>
      </c>
      <c r="J80" s="82">
        <f t="shared" ca="1" si="9"/>
        <v>0</v>
      </c>
      <c r="K80" s="13" t="s">
        <v>20</v>
      </c>
    </row>
    <row r="81" spans="1:11" ht="35.25" customHeight="1" outlineLevel="1" x14ac:dyDescent="0.3">
      <c r="A81" s="21" t="s">
        <v>4</v>
      </c>
      <c r="B81" s="13" t="s">
        <v>98</v>
      </c>
      <c r="C81" s="13" t="s">
        <v>21</v>
      </c>
      <c r="D81" s="13" t="s">
        <v>115</v>
      </c>
      <c r="E81" s="13" t="s">
        <v>338</v>
      </c>
      <c r="F81" s="61" t="s">
        <v>6</v>
      </c>
      <c r="G81" s="33">
        <f>I75</f>
        <v>46213</v>
      </c>
      <c r="H81" s="34">
        <v>7</v>
      </c>
      <c r="I81" s="33">
        <f t="shared" si="6"/>
        <v>46220</v>
      </c>
      <c r="J81" s="82">
        <f t="shared" ca="1" si="9"/>
        <v>0</v>
      </c>
      <c r="K81" s="13" t="s">
        <v>22</v>
      </c>
    </row>
    <row r="82" spans="1:11" ht="35.25" customHeight="1" outlineLevel="1" x14ac:dyDescent="0.3">
      <c r="A82" s="21" t="s">
        <v>4</v>
      </c>
      <c r="B82" s="13" t="s">
        <v>98</v>
      </c>
      <c r="C82" s="13" t="s">
        <v>102</v>
      </c>
      <c r="D82" s="13" t="s">
        <v>70</v>
      </c>
      <c r="E82" s="13" t="s">
        <v>338</v>
      </c>
      <c r="F82" s="61" t="s">
        <v>6</v>
      </c>
      <c r="G82" s="33">
        <f>I75</f>
        <v>46213</v>
      </c>
      <c r="H82" s="34">
        <v>7</v>
      </c>
      <c r="I82" s="33">
        <f t="shared" si="6"/>
        <v>46220</v>
      </c>
      <c r="J82" s="82">
        <f ca="1">IFERROR(MAX(0,MIN(1,(TODAY()-G82)/(I82-G82))),"")</f>
        <v>0</v>
      </c>
      <c r="K82" s="13"/>
    </row>
    <row r="83" spans="1:11" ht="37.6" customHeight="1" outlineLevel="1" x14ac:dyDescent="0.3">
      <c r="A83" s="21" t="s">
        <v>4</v>
      </c>
      <c r="B83" s="13" t="s">
        <v>98</v>
      </c>
      <c r="C83" s="13" t="s">
        <v>100</v>
      </c>
      <c r="D83" s="13" t="s">
        <v>69</v>
      </c>
      <c r="E83" s="13" t="s">
        <v>338</v>
      </c>
      <c r="F83" s="61" t="s">
        <v>6</v>
      </c>
      <c r="G83" s="33">
        <f>I75</f>
        <v>46213</v>
      </c>
      <c r="H83" s="34">
        <v>14</v>
      </c>
      <c r="I83" s="33">
        <f t="shared" si="6"/>
        <v>46227</v>
      </c>
      <c r="J83" s="82">
        <f t="shared" ca="1" si="9"/>
        <v>0</v>
      </c>
      <c r="K83" s="13"/>
    </row>
    <row r="84" spans="1:11" ht="35.25" customHeight="1" outlineLevel="1" x14ac:dyDescent="0.3">
      <c r="A84" s="21" t="s">
        <v>4</v>
      </c>
      <c r="B84" s="13" t="s">
        <v>98</v>
      </c>
      <c r="C84" s="13" t="s">
        <v>23</v>
      </c>
      <c r="D84" s="13" t="s">
        <v>24</v>
      </c>
      <c r="E84" s="13" t="s">
        <v>338</v>
      </c>
      <c r="F84" s="61" t="s">
        <v>6</v>
      </c>
      <c r="G84" s="33">
        <f>I75</f>
        <v>46213</v>
      </c>
      <c r="H84" s="34">
        <v>14</v>
      </c>
      <c r="I84" s="33">
        <f t="shared" si="6"/>
        <v>46227</v>
      </c>
      <c r="J84" s="82">
        <f t="shared" ca="1" si="9"/>
        <v>0</v>
      </c>
      <c r="K84" s="13"/>
    </row>
    <row r="85" spans="1:11" ht="35.25" customHeight="1" outlineLevel="1" x14ac:dyDescent="0.3">
      <c r="A85" s="21" t="s">
        <v>4</v>
      </c>
      <c r="B85" s="13" t="s">
        <v>98</v>
      </c>
      <c r="C85" s="13" t="s">
        <v>101</v>
      </c>
      <c r="D85" s="13" t="s">
        <v>68</v>
      </c>
      <c r="E85" s="20" t="s">
        <v>323</v>
      </c>
      <c r="F85" s="61" t="s">
        <v>6</v>
      </c>
      <c r="G85" s="33">
        <f>I75</f>
        <v>46213</v>
      </c>
      <c r="H85" s="34">
        <v>14</v>
      </c>
      <c r="I85" s="33">
        <f t="shared" si="6"/>
        <v>46227</v>
      </c>
      <c r="J85" s="82">
        <f t="shared" ca="1" si="9"/>
        <v>0</v>
      </c>
      <c r="K85" s="13"/>
    </row>
    <row r="86" spans="1:11" ht="35.25" customHeight="1" outlineLevel="1" x14ac:dyDescent="0.3">
      <c r="A86" s="21" t="s">
        <v>4</v>
      </c>
      <c r="B86" s="13" t="s">
        <v>98</v>
      </c>
      <c r="C86" s="13" t="s">
        <v>118</v>
      </c>
      <c r="D86" s="13" t="s">
        <v>117</v>
      </c>
      <c r="E86" s="13" t="s">
        <v>338</v>
      </c>
      <c r="F86" s="61" t="s">
        <v>6</v>
      </c>
      <c r="G86" s="33">
        <f>I75</f>
        <v>46213</v>
      </c>
      <c r="H86" s="34">
        <v>14</v>
      </c>
      <c r="I86" s="33">
        <f t="shared" si="6"/>
        <v>46227</v>
      </c>
      <c r="J86" s="82">
        <f t="shared" ca="1" si="9"/>
        <v>0</v>
      </c>
      <c r="K86" s="13"/>
    </row>
    <row r="87" spans="1:11" s="74" customFormat="1" ht="24.6" customHeight="1" x14ac:dyDescent="0.3">
      <c r="A87" s="68"/>
      <c r="B87" s="68" t="s">
        <v>211</v>
      </c>
      <c r="C87" s="69"/>
      <c r="D87" s="69"/>
      <c r="E87" s="69"/>
      <c r="F87" s="70"/>
      <c r="G87" s="71">
        <f>MIN(G88:G92)</f>
        <v>46161</v>
      </c>
      <c r="H87" s="72">
        <f>I87-G87</f>
        <v>70</v>
      </c>
      <c r="I87" s="71">
        <f>MAX(I88:I92)</f>
        <v>46231</v>
      </c>
      <c r="J87" s="73"/>
      <c r="K87" s="69"/>
    </row>
    <row r="88" spans="1:11" ht="35.25" customHeight="1" outlineLevel="1" x14ac:dyDescent="0.3">
      <c r="A88" s="53" t="s">
        <v>25</v>
      </c>
      <c r="B88" s="19" t="s">
        <v>211</v>
      </c>
      <c r="C88" s="19" t="s">
        <v>277</v>
      </c>
      <c r="D88" s="19" t="s">
        <v>281</v>
      </c>
      <c r="E88" s="19" t="s">
        <v>340</v>
      </c>
      <c r="F88" s="61" t="s">
        <v>6</v>
      </c>
      <c r="G88" s="31">
        <f>I56</f>
        <v>46161</v>
      </c>
      <c r="H88" s="30">
        <v>21</v>
      </c>
      <c r="I88" s="31">
        <f t="shared" ref="I88" si="10">G88+H88</f>
        <v>46182</v>
      </c>
      <c r="J88" s="81">
        <f t="shared" ref="J88" ca="1" si="11">IFERROR(MAX(0,MIN(1,(TODAY()-G88)/(I88-G88))),"")</f>
        <v>0</v>
      </c>
      <c r="K88" s="19"/>
    </row>
    <row r="89" spans="1:11" ht="35.25" customHeight="1" outlineLevel="1" x14ac:dyDescent="0.3">
      <c r="A89" s="53" t="s">
        <v>25</v>
      </c>
      <c r="B89" s="19" t="s">
        <v>211</v>
      </c>
      <c r="C89" s="19" t="s">
        <v>265</v>
      </c>
      <c r="D89" s="19" t="s">
        <v>210</v>
      </c>
      <c r="E89" s="19" t="s">
        <v>340</v>
      </c>
      <c r="F89" s="61" t="s">
        <v>6</v>
      </c>
      <c r="G89" s="31">
        <f>I88</f>
        <v>46182</v>
      </c>
      <c r="H89" s="30">
        <v>14</v>
      </c>
      <c r="I89" s="31">
        <f t="shared" ref="I89:I91" si="12">G89+H89</f>
        <v>46196</v>
      </c>
      <c r="J89" s="81">
        <f t="shared" ca="1" si="9"/>
        <v>0</v>
      </c>
      <c r="K89" s="19"/>
    </row>
    <row r="90" spans="1:11" ht="35.25" customHeight="1" outlineLevel="1" x14ac:dyDescent="0.3">
      <c r="A90" s="54" t="s">
        <v>25</v>
      </c>
      <c r="B90" s="13" t="s">
        <v>211</v>
      </c>
      <c r="C90" s="13" t="s">
        <v>26</v>
      </c>
      <c r="D90" s="13" t="s">
        <v>27</v>
      </c>
      <c r="E90" s="19" t="s">
        <v>340</v>
      </c>
      <c r="F90" s="61" t="s">
        <v>6</v>
      </c>
      <c r="G90" s="33">
        <f>I75-7</f>
        <v>46206</v>
      </c>
      <c r="H90" s="34">
        <v>7</v>
      </c>
      <c r="I90" s="33">
        <f t="shared" si="12"/>
        <v>46213</v>
      </c>
      <c r="J90" s="82">
        <f t="shared" ca="1" si="9"/>
        <v>0</v>
      </c>
      <c r="K90" s="13" t="s">
        <v>28</v>
      </c>
    </row>
    <row r="91" spans="1:11" ht="35.25" customHeight="1" outlineLevel="1" x14ac:dyDescent="0.3">
      <c r="A91" s="50" t="s">
        <v>25</v>
      </c>
      <c r="B91" s="14" t="s">
        <v>211</v>
      </c>
      <c r="C91" s="14" t="s">
        <v>30</v>
      </c>
      <c r="D91" s="14" t="s">
        <v>266</v>
      </c>
      <c r="E91" s="19" t="s">
        <v>340</v>
      </c>
      <c r="F91" s="61" t="s">
        <v>6</v>
      </c>
      <c r="G91" s="36">
        <f>I74-7</f>
        <v>46203</v>
      </c>
      <c r="H91" s="37">
        <v>7</v>
      </c>
      <c r="I91" s="36">
        <f t="shared" si="12"/>
        <v>46210</v>
      </c>
      <c r="J91" s="83">
        <f t="shared" ref="J91" ca="1" si="13">IFERROR(MAX(0,MIN(1,(TODAY()-G91)/(I91-G91))),"")</f>
        <v>0</v>
      </c>
      <c r="K91" s="14" t="s">
        <v>144</v>
      </c>
    </row>
    <row r="92" spans="1:11" ht="35.25" customHeight="1" outlineLevel="1" x14ac:dyDescent="0.3">
      <c r="A92" s="51" t="s">
        <v>25</v>
      </c>
      <c r="B92" s="13" t="s">
        <v>211</v>
      </c>
      <c r="C92" s="13" t="s">
        <v>283</v>
      </c>
      <c r="D92" s="13" t="s">
        <v>282</v>
      </c>
      <c r="E92" s="19" t="s">
        <v>340</v>
      </c>
      <c r="F92" s="61" t="s">
        <v>6</v>
      </c>
      <c r="G92" s="33">
        <f>I91</f>
        <v>46210</v>
      </c>
      <c r="H92" s="34">
        <v>21</v>
      </c>
      <c r="I92" s="33">
        <f t="shared" ref="I92" si="14">G92+H92</f>
        <v>46231</v>
      </c>
      <c r="J92" s="82">
        <f t="shared" ca="1" si="9"/>
        <v>0</v>
      </c>
      <c r="K92" s="13" t="s">
        <v>144</v>
      </c>
    </row>
    <row r="93" spans="1:11" s="74" customFormat="1" ht="24.6" customHeight="1" x14ac:dyDescent="0.3">
      <c r="A93" s="68"/>
      <c r="B93" s="68" t="s">
        <v>267</v>
      </c>
      <c r="C93" s="69"/>
      <c r="D93" s="69"/>
      <c r="E93" s="69"/>
      <c r="F93" s="70"/>
      <c r="G93" s="71">
        <f>MIN(G94:G130)</f>
        <v>46070</v>
      </c>
      <c r="H93" s="72">
        <f>I93-G93</f>
        <v>178</v>
      </c>
      <c r="I93" s="71">
        <f>MAX(I94:I130)</f>
        <v>46248</v>
      </c>
      <c r="J93" s="73"/>
      <c r="K93" s="69"/>
    </row>
    <row r="94" spans="1:11" ht="35.25" customHeight="1" outlineLevel="1" x14ac:dyDescent="0.3">
      <c r="A94" s="51" t="s">
        <v>42</v>
      </c>
      <c r="B94" s="13" t="s">
        <v>44</v>
      </c>
      <c r="C94" s="13" t="s">
        <v>45</v>
      </c>
      <c r="D94" s="13" t="s">
        <v>93</v>
      </c>
      <c r="E94" s="13" t="s">
        <v>285</v>
      </c>
      <c r="F94" s="61" t="s">
        <v>6</v>
      </c>
      <c r="G94" s="45">
        <v>46117</v>
      </c>
      <c r="H94" s="34">
        <v>21</v>
      </c>
      <c r="I94" s="33">
        <f t="shared" ref="I94:I130" si="15">G94+H94</f>
        <v>46138</v>
      </c>
      <c r="J94" s="82">
        <f ca="1">IFERROR(MAX(0,MIN(1,(TODAY()-G94)/(I94-G94))),"")</f>
        <v>0</v>
      </c>
      <c r="K94" s="13" t="s">
        <v>158</v>
      </c>
    </row>
    <row r="95" spans="1:11" ht="35.25" customHeight="1" outlineLevel="1" x14ac:dyDescent="0.3">
      <c r="A95" s="51" t="s">
        <v>42</v>
      </c>
      <c r="B95" s="13" t="s">
        <v>46</v>
      </c>
      <c r="C95" s="13" t="s">
        <v>268</v>
      </c>
      <c r="D95" s="48" t="s">
        <v>216</v>
      </c>
      <c r="E95" s="13" t="s">
        <v>286</v>
      </c>
      <c r="F95" s="61" t="s">
        <v>6</v>
      </c>
      <c r="G95" s="45">
        <v>46117</v>
      </c>
      <c r="H95" s="34">
        <v>14</v>
      </c>
      <c r="I95" s="33">
        <f>G95+H95</f>
        <v>46131</v>
      </c>
      <c r="J95" s="82">
        <f ca="1">IFERROR(MAX(0,MIN(1,(TODAY()-G95)/(I95-G95))),"")</f>
        <v>0</v>
      </c>
      <c r="K95" s="13"/>
    </row>
    <row r="96" spans="1:11" ht="35.25" customHeight="1" outlineLevel="1" x14ac:dyDescent="0.3">
      <c r="A96" s="51" t="s">
        <v>42</v>
      </c>
      <c r="B96" s="13" t="s">
        <v>46</v>
      </c>
      <c r="C96" s="13" t="s">
        <v>269</v>
      </c>
      <c r="D96" s="13" t="s">
        <v>289</v>
      </c>
      <c r="E96" s="13" t="s">
        <v>286</v>
      </c>
      <c r="F96" s="61" t="s">
        <v>6</v>
      </c>
      <c r="G96" s="33">
        <f>I95</f>
        <v>46131</v>
      </c>
      <c r="H96" s="34">
        <v>14</v>
      </c>
      <c r="I96" s="33">
        <f>G96+H96</f>
        <v>46145</v>
      </c>
      <c r="J96" s="82">
        <f ca="1">IFERROR(MAX(0,MIN(1,(TODAY()-G96)/(I96-G96))),"")</f>
        <v>0</v>
      </c>
      <c r="K96" s="13"/>
    </row>
    <row r="97" spans="1:11" ht="35.25" customHeight="1" outlineLevel="1" x14ac:dyDescent="0.3">
      <c r="A97" s="51" t="s">
        <v>42</v>
      </c>
      <c r="B97" s="13" t="s">
        <v>300</v>
      </c>
      <c r="C97" s="13" t="s">
        <v>185</v>
      </c>
      <c r="D97" s="48" t="s">
        <v>199</v>
      </c>
      <c r="E97" s="13" t="s">
        <v>304</v>
      </c>
      <c r="F97" s="61" t="s">
        <v>6</v>
      </c>
      <c r="G97" s="45">
        <v>46117</v>
      </c>
      <c r="H97" s="34">
        <v>14</v>
      </c>
      <c r="I97" s="33">
        <f t="shared" si="15"/>
        <v>46131</v>
      </c>
      <c r="J97" s="82">
        <f t="shared" ref="J97:J103" ca="1" si="16">IFERROR(MAX(0,MIN(1,(TODAY()-G97)/(I97-G97))),"")</f>
        <v>0</v>
      </c>
      <c r="K97" s="13"/>
    </row>
    <row r="98" spans="1:11" ht="35.25" customHeight="1" outlineLevel="1" x14ac:dyDescent="0.3">
      <c r="A98" s="51" t="s">
        <v>42</v>
      </c>
      <c r="B98" s="13" t="s">
        <v>300</v>
      </c>
      <c r="C98" s="13" t="s">
        <v>205</v>
      </c>
      <c r="D98" s="48" t="s">
        <v>204</v>
      </c>
      <c r="E98" s="13" t="s">
        <v>304</v>
      </c>
      <c r="F98" s="61" t="s">
        <v>6</v>
      </c>
      <c r="G98" s="33">
        <f>I97</f>
        <v>46131</v>
      </c>
      <c r="H98" s="34">
        <v>60</v>
      </c>
      <c r="I98" s="33">
        <f t="shared" si="15"/>
        <v>46191</v>
      </c>
      <c r="J98" s="82">
        <f t="shared" ca="1" si="16"/>
        <v>0</v>
      </c>
      <c r="K98" s="13"/>
    </row>
    <row r="99" spans="1:11" ht="35.25" customHeight="1" outlineLevel="1" x14ac:dyDescent="0.3">
      <c r="A99" s="51" t="s">
        <v>42</v>
      </c>
      <c r="B99" s="13" t="s">
        <v>160</v>
      </c>
      <c r="C99" s="17" t="s">
        <v>202</v>
      </c>
      <c r="D99" s="46" t="s">
        <v>200</v>
      </c>
      <c r="E99" s="17" t="s">
        <v>285</v>
      </c>
      <c r="F99" s="61" t="s">
        <v>6</v>
      </c>
      <c r="G99" s="33">
        <v>46183</v>
      </c>
      <c r="H99" s="34">
        <v>14</v>
      </c>
      <c r="I99" s="33">
        <f t="shared" ref="I99:I105" si="17">G99+H99</f>
        <v>46197</v>
      </c>
      <c r="J99" s="82">
        <f t="shared" ca="1" si="16"/>
        <v>0</v>
      </c>
      <c r="K99" s="13"/>
    </row>
    <row r="100" spans="1:11" ht="35.25" customHeight="1" outlineLevel="1" x14ac:dyDescent="0.3">
      <c r="A100" s="52" t="s">
        <v>42</v>
      </c>
      <c r="B100" s="19" t="s">
        <v>160</v>
      </c>
      <c r="C100" s="19" t="s">
        <v>32</v>
      </c>
      <c r="D100" s="19" t="s">
        <v>90</v>
      </c>
      <c r="E100" s="19" t="s">
        <v>287</v>
      </c>
      <c r="F100" s="61" t="s">
        <v>6</v>
      </c>
      <c r="G100" s="31">
        <f>I75</f>
        <v>46213</v>
      </c>
      <c r="H100" s="30">
        <v>21</v>
      </c>
      <c r="I100" s="31">
        <f t="shared" si="17"/>
        <v>46234</v>
      </c>
      <c r="J100" s="81">
        <f t="shared" ca="1" si="16"/>
        <v>0</v>
      </c>
      <c r="K100" s="19" t="s">
        <v>209</v>
      </c>
    </row>
    <row r="101" spans="1:11" ht="35.25" customHeight="1" outlineLevel="1" x14ac:dyDescent="0.3">
      <c r="A101" s="51" t="s">
        <v>42</v>
      </c>
      <c r="B101" s="13" t="s">
        <v>160</v>
      </c>
      <c r="C101" s="13" t="s">
        <v>33</v>
      </c>
      <c r="D101" s="13" t="s">
        <v>34</v>
      </c>
      <c r="E101" s="19" t="s">
        <v>287</v>
      </c>
      <c r="F101" s="61" t="s">
        <v>6</v>
      </c>
      <c r="G101" s="33">
        <f>I75</f>
        <v>46213</v>
      </c>
      <c r="H101" s="34">
        <v>7</v>
      </c>
      <c r="I101" s="33">
        <f t="shared" si="17"/>
        <v>46220</v>
      </c>
      <c r="J101" s="82">
        <f t="shared" ca="1" si="16"/>
        <v>0</v>
      </c>
      <c r="K101" s="13" t="s">
        <v>208</v>
      </c>
    </row>
    <row r="102" spans="1:11" ht="35.25" customHeight="1" outlineLevel="1" x14ac:dyDescent="0.3">
      <c r="A102" s="51" t="s">
        <v>42</v>
      </c>
      <c r="B102" s="13" t="s">
        <v>160</v>
      </c>
      <c r="C102" s="13" t="s">
        <v>35</v>
      </c>
      <c r="D102" s="13" t="s">
        <v>36</v>
      </c>
      <c r="E102" s="13" t="s">
        <v>285</v>
      </c>
      <c r="F102" s="61" t="s">
        <v>6</v>
      </c>
      <c r="G102" s="33">
        <f>I10</f>
        <v>46089</v>
      </c>
      <c r="H102" s="34">
        <v>7</v>
      </c>
      <c r="I102" s="33">
        <f t="shared" si="17"/>
        <v>46096</v>
      </c>
      <c r="J102" s="82">
        <f t="shared" ca="1" si="16"/>
        <v>0</v>
      </c>
      <c r="K102" s="13"/>
    </row>
    <row r="103" spans="1:11" ht="35.25" customHeight="1" outlineLevel="1" x14ac:dyDescent="0.3">
      <c r="A103" s="51" t="s">
        <v>42</v>
      </c>
      <c r="B103" s="13" t="s">
        <v>160</v>
      </c>
      <c r="C103" s="13" t="s">
        <v>142</v>
      </c>
      <c r="D103" s="13" t="s">
        <v>91</v>
      </c>
      <c r="E103" s="13" t="s">
        <v>123</v>
      </c>
      <c r="F103" s="61" t="s">
        <v>6</v>
      </c>
      <c r="G103" s="33">
        <f>I100</f>
        <v>46234</v>
      </c>
      <c r="H103" s="34">
        <v>14</v>
      </c>
      <c r="I103" s="33">
        <f t="shared" si="17"/>
        <v>46248</v>
      </c>
      <c r="J103" s="82">
        <f t="shared" ca="1" si="16"/>
        <v>0</v>
      </c>
      <c r="K103" s="13" t="s">
        <v>143</v>
      </c>
    </row>
    <row r="104" spans="1:11" ht="37.6" customHeight="1" outlineLevel="1" x14ac:dyDescent="0.3">
      <c r="A104" s="51" t="s">
        <v>47</v>
      </c>
      <c r="B104" s="13" t="s">
        <v>279</v>
      </c>
      <c r="C104" s="13" t="s">
        <v>313</v>
      </c>
      <c r="D104" s="13" t="s">
        <v>322</v>
      </c>
      <c r="E104" s="13" t="s">
        <v>314</v>
      </c>
      <c r="F104" s="66" t="s">
        <v>73</v>
      </c>
      <c r="G104" s="45">
        <v>46070</v>
      </c>
      <c r="H104" s="34">
        <v>14</v>
      </c>
      <c r="I104" s="33">
        <f t="shared" si="17"/>
        <v>46084</v>
      </c>
      <c r="J104" s="82">
        <f ca="1">IFERROR(MAX(0,MIN(1,(TODAY()-G104)/(I104-G104))),"")</f>
        <v>0.5</v>
      </c>
      <c r="K104" s="13" t="s">
        <v>157</v>
      </c>
    </row>
    <row r="105" spans="1:11" ht="37.6" customHeight="1" outlineLevel="1" x14ac:dyDescent="0.3">
      <c r="A105" s="51" t="s">
        <v>47</v>
      </c>
      <c r="B105" s="13" t="s">
        <v>279</v>
      </c>
      <c r="C105" s="13" t="s">
        <v>316</v>
      </c>
      <c r="D105" s="13" t="s">
        <v>315</v>
      </c>
      <c r="E105" s="13" t="s">
        <v>314</v>
      </c>
      <c r="F105" s="61" t="s">
        <v>6</v>
      </c>
      <c r="G105" s="33">
        <f>I104</f>
        <v>46084</v>
      </c>
      <c r="H105" s="34">
        <v>14</v>
      </c>
      <c r="I105" s="33">
        <f t="shared" si="17"/>
        <v>46098</v>
      </c>
      <c r="J105" s="82">
        <f ca="1">IFERROR(MAX(0,MIN(1,(TODAY()-G105)/(I105-G105))),"")</f>
        <v>0</v>
      </c>
      <c r="K105" s="13" t="s">
        <v>157</v>
      </c>
    </row>
    <row r="106" spans="1:11" ht="35.25" customHeight="1" outlineLevel="1" x14ac:dyDescent="0.3">
      <c r="A106" s="51" t="s">
        <v>47</v>
      </c>
      <c r="B106" s="13" t="s">
        <v>279</v>
      </c>
      <c r="C106" s="13" t="s">
        <v>278</v>
      </c>
      <c r="D106" s="13" t="s">
        <v>319</v>
      </c>
      <c r="E106" s="13" t="s">
        <v>220</v>
      </c>
      <c r="F106" s="61" t="s">
        <v>6</v>
      </c>
      <c r="G106" s="33">
        <f>I105</f>
        <v>46098</v>
      </c>
      <c r="H106" s="34">
        <v>30</v>
      </c>
      <c r="I106" s="33">
        <f t="shared" ref="I106" si="18">G106+H106</f>
        <v>46128</v>
      </c>
      <c r="J106" s="82">
        <f t="shared" ref="J106" ca="1" si="19">IFERROR(MAX(0,MIN(1,(TODAY()-G106)/(I106-G106))),"")</f>
        <v>0</v>
      </c>
      <c r="K106" s="13"/>
    </row>
    <row r="107" spans="1:11" ht="37.6" customHeight="1" outlineLevel="1" x14ac:dyDescent="0.3">
      <c r="A107" s="51" t="s">
        <v>47</v>
      </c>
      <c r="B107" s="13" t="s">
        <v>279</v>
      </c>
      <c r="C107" s="13" t="s">
        <v>305</v>
      </c>
      <c r="D107" s="13" t="s">
        <v>306</v>
      </c>
      <c r="E107" s="13" t="s">
        <v>220</v>
      </c>
      <c r="F107" s="61" t="s">
        <v>6</v>
      </c>
      <c r="G107" s="33">
        <f>I105</f>
        <v>46098</v>
      </c>
      <c r="H107" s="34">
        <v>90</v>
      </c>
      <c r="I107" s="33">
        <f>G107+H107</f>
        <v>46188</v>
      </c>
      <c r="J107" s="82">
        <f ca="1">IFERROR(MAX(0,MIN(1,(TODAY()-G107)/(I107-G107))),"")</f>
        <v>0</v>
      </c>
      <c r="K107" s="13"/>
    </row>
    <row r="108" spans="1:11" ht="35.25" customHeight="1" outlineLevel="1" x14ac:dyDescent="0.3">
      <c r="A108" s="51" t="s">
        <v>47</v>
      </c>
      <c r="B108" s="13" t="s">
        <v>279</v>
      </c>
      <c r="C108" s="13" t="s">
        <v>318</v>
      </c>
      <c r="D108" s="13" t="s">
        <v>317</v>
      </c>
      <c r="E108" s="13" t="s">
        <v>220</v>
      </c>
      <c r="F108" s="61" t="s">
        <v>6</v>
      </c>
      <c r="G108" s="33">
        <f>I107</f>
        <v>46188</v>
      </c>
      <c r="H108" s="34">
        <v>3</v>
      </c>
      <c r="I108" s="33">
        <f>G108+H108</f>
        <v>46191</v>
      </c>
      <c r="J108" s="82">
        <f ca="1">IFERROR(MAX(0,MIN(1,(TODAY()-G108)/(I108-G108))),"")</f>
        <v>0</v>
      </c>
      <c r="K108" s="13"/>
    </row>
    <row r="109" spans="1:11" ht="35.25" customHeight="1" outlineLevel="1" x14ac:dyDescent="0.3">
      <c r="A109" s="51" t="s">
        <v>47</v>
      </c>
      <c r="B109" s="13" t="s">
        <v>279</v>
      </c>
      <c r="C109" s="13" t="s">
        <v>43</v>
      </c>
      <c r="D109" s="13" t="s">
        <v>92</v>
      </c>
      <c r="E109" s="13" t="s">
        <v>346</v>
      </c>
      <c r="F109" s="61" t="s">
        <v>6</v>
      </c>
      <c r="G109" s="33">
        <f>I108</f>
        <v>46191</v>
      </c>
      <c r="H109" s="34">
        <v>7</v>
      </c>
      <c r="I109" s="33">
        <f>G109+H109</f>
        <v>46198</v>
      </c>
      <c r="J109" s="82">
        <f ca="1">IFERROR(MAX(0,MIN(1,(TODAY()-G109)/(I109-G109))),"")</f>
        <v>0</v>
      </c>
      <c r="K109" s="47"/>
    </row>
    <row r="110" spans="1:11" ht="35.25" customHeight="1" outlineLevel="1" x14ac:dyDescent="0.3">
      <c r="A110" s="51" t="s">
        <v>47</v>
      </c>
      <c r="B110" s="13" t="s">
        <v>279</v>
      </c>
      <c r="C110" s="13" t="s">
        <v>132</v>
      </c>
      <c r="D110" s="13" t="s">
        <v>131</v>
      </c>
      <c r="E110" s="13" t="s">
        <v>220</v>
      </c>
      <c r="F110" s="61" t="s">
        <v>6</v>
      </c>
      <c r="G110" s="33">
        <f>I105</f>
        <v>46098</v>
      </c>
      <c r="H110" s="34">
        <v>60</v>
      </c>
      <c r="I110" s="33">
        <f t="shared" si="15"/>
        <v>46158</v>
      </c>
      <c r="J110" s="82">
        <f t="shared" ca="1" si="9"/>
        <v>0</v>
      </c>
      <c r="K110" s="13"/>
    </row>
    <row r="111" spans="1:11" ht="35.25" customHeight="1" outlineLevel="1" x14ac:dyDescent="0.3">
      <c r="A111" s="51" t="s">
        <v>47</v>
      </c>
      <c r="B111" s="13" t="s">
        <v>320</v>
      </c>
      <c r="C111" s="13" t="s">
        <v>312</v>
      </c>
      <c r="D111" s="13" t="s">
        <v>280</v>
      </c>
      <c r="E111" s="13" t="s">
        <v>220</v>
      </c>
      <c r="F111" s="61" t="s">
        <v>6</v>
      </c>
      <c r="G111" s="33">
        <f>I75</f>
        <v>46213</v>
      </c>
      <c r="H111" s="34">
        <v>14</v>
      </c>
      <c r="I111" s="33">
        <f t="shared" si="15"/>
        <v>46227</v>
      </c>
      <c r="J111" s="82">
        <f t="shared" ca="1" si="9"/>
        <v>0</v>
      </c>
      <c r="K111" s="13"/>
    </row>
    <row r="112" spans="1:11" ht="35.25" customHeight="1" outlineLevel="1" x14ac:dyDescent="0.3">
      <c r="A112" s="51" t="s">
        <v>47</v>
      </c>
      <c r="B112" s="13" t="s">
        <v>320</v>
      </c>
      <c r="C112" s="13" t="s">
        <v>311</v>
      </c>
      <c r="D112" s="13" t="s">
        <v>310</v>
      </c>
      <c r="E112" s="13" t="s">
        <v>220</v>
      </c>
      <c r="F112" s="61" t="s">
        <v>6</v>
      </c>
      <c r="G112" s="33">
        <f>I75</f>
        <v>46213</v>
      </c>
      <c r="H112" s="34">
        <v>14</v>
      </c>
      <c r="I112" s="33">
        <f>G112+H112</f>
        <v>46227</v>
      </c>
      <c r="J112" s="82">
        <f ca="1">IFERROR(MAX(0,MIN(1,(TODAY()-G112)/(I112-G112))),"")</f>
        <v>0</v>
      </c>
      <c r="K112" s="13"/>
    </row>
    <row r="113" spans="1:11" ht="35.25" customHeight="1" outlineLevel="1" x14ac:dyDescent="0.3">
      <c r="A113" s="51" t="s">
        <v>47</v>
      </c>
      <c r="B113" s="13" t="s">
        <v>321</v>
      </c>
      <c r="C113" s="13" t="s">
        <v>130</v>
      </c>
      <c r="D113" s="20" t="s">
        <v>129</v>
      </c>
      <c r="E113" s="13" t="s">
        <v>220</v>
      </c>
      <c r="F113" s="61" t="s">
        <v>6</v>
      </c>
      <c r="G113" s="33">
        <f>I75</f>
        <v>46213</v>
      </c>
      <c r="H113" s="34">
        <v>7</v>
      </c>
      <c r="I113" s="33">
        <f t="shared" si="15"/>
        <v>46220</v>
      </c>
      <c r="J113" s="82">
        <f t="shared" ca="1" si="9"/>
        <v>0</v>
      </c>
      <c r="K113" s="13"/>
    </row>
    <row r="114" spans="1:11" ht="35.25" customHeight="1" outlineLevel="1" x14ac:dyDescent="0.3">
      <c r="A114" s="51" t="s">
        <v>47</v>
      </c>
      <c r="B114" s="13" t="s">
        <v>48</v>
      </c>
      <c r="C114" s="13" t="s">
        <v>49</v>
      </c>
      <c r="D114" s="13" t="s">
        <v>105</v>
      </c>
      <c r="E114" s="13" t="s">
        <v>220</v>
      </c>
      <c r="F114" s="61" t="s">
        <v>6</v>
      </c>
      <c r="G114" s="45">
        <v>46154</v>
      </c>
      <c r="H114" s="34">
        <v>60</v>
      </c>
      <c r="I114" s="33">
        <f t="shared" si="15"/>
        <v>46214</v>
      </c>
      <c r="J114" s="82">
        <f t="shared" ca="1" si="9"/>
        <v>0</v>
      </c>
      <c r="K114" s="13"/>
    </row>
    <row r="115" spans="1:11" ht="35.25" customHeight="1" outlineLevel="1" x14ac:dyDescent="0.3">
      <c r="A115" s="51" t="s">
        <v>47</v>
      </c>
      <c r="B115" s="13" t="s">
        <v>307</v>
      </c>
      <c r="C115" s="13" t="s">
        <v>308</v>
      </c>
      <c r="D115" s="13" t="s">
        <v>309</v>
      </c>
      <c r="E115" s="13" t="s">
        <v>220</v>
      </c>
      <c r="F115" s="61" t="s">
        <v>6</v>
      </c>
      <c r="G115" s="45">
        <v>46154</v>
      </c>
      <c r="H115" s="34">
        <v>60</v>
      </c>
      <c r="I115" s="33">
        <f t="shared" ref="I115" si="20">G115+H115</f>
        <v>46214</v>
      </c>
      <c r="J115" s="82">
        <f t="shared" ref="J115" ca="1" si="21">IFERROR(MAX(0,MIN(1,(TODAY()-G115)/(I115-G115))),"")</f>
        <v>0</v>
      </c>
      <c r="K115" s="13"/>
    </row>
    <row r="116" spans="1:11" ht="35.25" customHeight="1" outlineLevel="1" x14ac:dyDescent="0.3">
      <c r="A116" s="51" t="s">
        <v>47</v>
      </c>
      <c r="B116" s="13" t="s">
        <v>270</v>
      </c>
      <c r="C116" s="13" t="s">
        <v>218</v>
      </c>
      <c r="D116" s="13" t="s">
        <v>271</v>
      </c>
      <c r="E116" s="13" t="s">
        <v>220</v>
      </c>
      <c r="F116" s="61" t="s">
        <v>6</v>
      </c>
      <c r="G116" s="33">
        <f>I75</f>
        <v>46213</v>
      </c>
      <c r="H116" s="34">
        <v>14</v>
      </c>
      <c r="I116" s="33">
        <f t="shared" si="15"/>
        <v>46227</v>
      </c>
      <c r="J116" s="82">
        <f t="shared" ca="1" si="9"/>
        <v>0</v>
      </c>
      <c r="K116" s="13"/>
    </row>
    <row r="117" spans="1:11" ht="35.25" customHeight="1" outlineLevel="1" x14ac:dyDescent="0.3">
      <c r="A117" s="51" t="s">
        <v>51</v>
      </c>
      <c r="B117" s="13" t="s">
        <v>31</v>
      </c>
      <c r="C117" s="13" t="s">
        <v>52</v>
      </c>
      <c r="D117" s="13" t="s">
        <v>293</v>
      </c>
      <c r="E117" s="13" t="s">
        <v>221</v>
      </c>
      <c r="F117" s="61" t="s">
        <v>6</v>
      </c>
      <c r="G117" s="45">
        <v>46117</v>
      </c>
      <c r="H117" s="34">
        <v>14</v>
      </c>
      <c r="I117" s="33">
        <f t="shared" si="15"/>
        <v>46131</v>
      </c>
      <c r="J117" s="82">
        <f t="shared" ca="1" si="9"/>
        <v>0</v>
      </c>
      <c r="K117" s="13" t="s">
        <v>291</v>
      </c>
    </row>
    <row r="118" spans="1:11" ht="35.25" customHeight="1" outlineLevel="1" x14ac:dyDescent="0.3">
      <c r="A118" s="50" t="s">
        <v>40</v>
      </c>
      <c r="B118" s="14" t="s">
        <v>41</v>
      </c>
      <c r="C118" s="18" t="s">
        <v>272</v>
      </c>
      <c r="D118" s="18" t="s">
        <v>273</v>
      </c>
      <c r="E118" s="14" t="s">
        <v>123</v>
      </c>
      <c r="F118" s="61" t="s">
        <v>6</v>
      </c>
      <c r="G118" s="36">
        <f>I33</f>
        <v>46094</v>
      </c>
      <c r="H118" s="42">
        <v>7</v>
      </c>
      <c r="I118" s="33">
        <f t="shared" si="15"/>
        <v>46101</v>
      </c>
      <c r="J118" s="83">
        <f ca="1">IFERROR(MAX(0,MIN(1,(TODAY()-G118)/(I118-G118))),"")</f>
        <v>0</v>
      </c>
      <c r="K118" s="14" t="s">
        <v>39</v>
      </c>
    </row>
    <row r="119" spans="1:11" ht="35.25" customHeight="1" outlineLevel="1" x14ac:dyDescent="0.3">
      <c r="A119" s="51" t="s">
        <v>40</v>
      </c>
      <c r="B119" s="13" t="s">
        <v>41</v>
      </c>
      <c r="C119" s="17" t="s">
        <v>120</v>
      </c>
      <c r="D119" s="17" t="s">
        <v>121</v>
      </c>
      <c r="E119" s="13" t="s">
        <v>296</v>
      </c>
      <c r="F119" s="61" t="s">
        <v>6</v>
      </c>
      <c r="G119" s="33">
        <f>I75</f>
        <v>46213</v>
      </c>
      <c r="H119" s="40">
        <v>7</v>
      </c>
      <c r="I119" s="33">
        <f t="shared" si="15"/>
        <v>46220</v>
      </c>
      <c r="J119" s="82">
        <f ca="1">IFERROR(MAX(0,MIN(1,(TODAY()-G119)/(I119-G119))),"")</f>
        <v>0</v>
      </c>
      <c r="K119" s="13"/>
    </row>
    <row r="120" spans="1:11" ht="35.25" customHeight="1" outlineLevel="1" x14ac:dyDescent="0.3">
      <c r="A120" s="52" t="s">
        <v>40</v>
      </c>
      <c r="B120" s="19" t="s">
        <v>274</v>
      </c>
      <c r="C120" s="19" t="s">
        <v>274</v>
      </c>
      <c r="D120" s="19" t="s">
        <v>284</v>
      </c>
      <c r="E120" s="19" t="s">
        <v>214</v>
      </c>
      <c r="F120" s="61" t="s">
        <v>6</v>
      </c>
      <c r="G120" s="33">
        <f>$I$118</f>
        <v>46101</v>
      </c>
      <c r="H120" s="30">
        <v>14</v>
      </c>
      <c r="I120" s="33">
        <f t="shared" si="15"/>
        <v>46115</v>
      </c>
      <c r="J120" s="81">
        <f t="shared" ca="1" si="9"/>
        <v>0</v>
      </c>
      <c r="K120" s="19"/>
    </row>
    <row r="121" spans="1:11" ht="35.25" customHeight="1" outlineLevel="1" x14ac:dyDescent="0.3">
      <c r="A121" s="51" t="s">
        <v>40</v>
      </c>
      <c r="B121" s="13" t="s">
        <v>128</v>
      </c>
      <c r="C121" s="13" t="s">
        <v>127</v>
      </c>
      <c r="D121" s="13" t="s">
        <v>126</v>
      </c>
      <c r="E121" s="19" t="s">
        <v>214</v>
      </c>
      <c r="F121" s="61" t="s">
        <v>6</v>
      </c>
      <c r="G121" s="33">
        <f>$I$118</f>
        <v>46101</v>
      </c>
      <c r="H121" s="30">
        <v>14</v>
      </c>
      <c r="I121" s="33">
        <f t="shared" si="15"/>
        <v>46115</v>
      </c>
      <c r="J121" s="82">
        <f t="shared" ca="1" si="9"/>
        <v>0</v>
      </c>
      <c r="K121" s="13"/>
    </row>
    <row r="122" spans="1:11" ht="35.25" customHeight="1" outlineLevel="1" x14ac:dyDescent="0.3">
      <c r="A122" s="51" t="s">
        <v>139</v>
      </c>
      <c r="B122" s="13" t="s">
        <v>128</v>
      </c>
      <c r="C122" s="13" t="s">
        <v>133</v>
      </c>
      <c r="D122" s="13" t="s">
        <v>138</v>
      </c>
      <c r="E122" s="13" t="s">
        <v>323</v>
      </c>
      <c r="F122" s="61" t="s">
        <v>6</v>
      </c>
      <c r="G122" s="33">
        <f>$I$8</f>
        <v>46085</v>
      </c>
      <c r="H122" s="34">
        <v>14</v>
      </c>
      <c r="I122" s="33">
        <f t="shared" si="15"/>
        <v>46099</v>
      </c>
      <c r="J122" s="82">
        <f t="shared" ca="1" si="9"/>
        <v>0</v>
      </c>
      <c r="K122" s="13"/>
    </row>
    <row r="123" spans="1:11" ht="35.25" customHeight="1" outlineLevel="1" x14ac:dyDescent="0.3">
      <c r="A123" s="51" t="s">
        <v>139</v>
      </c>
      <c r="B123" s="13" t="s">
        <v>128</v>
      </c>
      <c r="C123" s="13" t="s">
        <v>133</v>
      </c>
      <c r="D123" s="13" t="s">
        <v>135</v>
      </c>
      <c r="E123" s="13" t="s">
        <v>323</v>
      </c>
      <c r="F123" s="61" t="s">
        <v>6</v>
      </c>
      <c r="G123" s="33">
        <f>I56</f>
        <v>46161</v>
      </c>
      <c r="H123" s="30">
        <v>14</v>
      </c>
      <c r="I123" s="33">
        <f t="shared" si="15"/>
        <v>46175</v>
      </c>
      <c r="J123" s="82">
        <f t="shared" ca="1" si="9"/>
        <v>0</v>
      </c>
      <c r="K123" s="13"/>
    </row>
    <row r="124" spans="1:11" ht="35.25" customHeight="1" outlineLevel="1" x14ac:dyDescent="0.3">
      <c r="A124" s="51" t="s">
        <v>139</v>
      </c>
      <c r="B124" s="13" t="s">
        <v>54</v>
      </c>
      <c r="C124" s="13" t="s">
        <v>53</v>
      </c>
      <c r="D124" s="13" t="s">
        <v>134</v>
      </c>
      <c r="E124" s="13" t="s">
        <v>323</v>
      </c>
      <c r="F124" s="61" t="s">
        <v>6</v>
      </c>
      <c r="G124" s="33">
        <f>I56</f>
        <v>46161</v>
      </c>
      <c r="H124" s="30">
        <v>14</v>
      </c>
      <c r="I124" s="33">
        <f t="shared" si="15"/>
        <v>46175</v>
      </c>
      <c r="J124" s="82">
        <f t="shared" ca="1" si="9"/>
        <v>0</v>
      </c>
      <c r="K124" s="13"/>
    </row>
    <row r="125" spans="1:11" ht="35.25" customHeight="1" outlineLevel="1" x14ac:dyDescent="0.3">
      <c r="A125" s="51" t="s">
        <v>139</v>
      </c>
      <c r="B125" s="13" t="s">
        <v>54</v>
      </c>
      <c r="C125" s="13" t="s">
        <v>140</v>
      </c>
      <c r="D125" s="13" t="s">
        <v>141</v>
      </c>
      <c r="E125" s="13" t="s">
        <v>323</v>
      </c>
      <c r="F125" s="61" t="s">
        <v>6</v>
      </c>
      <c r="G125" s="33">
        <f>I56</f>
        <v>46161</v>
      </c>
      <c r="H125" s="30">
        <v>14</v>
      </c>
      <c r="I125" s="33">
        <f t="shared" si="15"/>
        <v>46175</v>
      </c>
      <c r="J125" s="82">
        <f t="shared" ca="1" si="9"/>
        <v>0</v>
      </c>
      <c r="K125" s="13"/>
    </row>
    <row r="126" spans="1:11" ht="35.25" customHeight="1" outlineLevel="1" x14ac:dyDescent="0.3">
      <c r="A126" s="51" t="s">
        <v>139</v>
      </c>
      <c r="B126" s="13" t="s">
        <v>54</v>
      </c>
      <c r="C126" s="13" t="s">
        <v>295</v>
      </c>
      <c r="D126" s="13" t="s">
        <v>294</v>
      </c>
      <c r="E126" s="13" t="s">
        <v>323</v>
      </c>
      <c r="F126" s="61" t="s">
        <v>6</v>
      </c>
      <c r="G126" s="33">
        <f>I75</f>
        <v>46213</v>
      </c>
      <c r="H126" s="34">
        <v>7</v>
      </c>
      <c r="I126" s="33">
        <f t="shared" si="15"/>
        <v>46220</v>
      </c>
      <c r="J126" s="82">
        <f t="shared" ca="1" si="9"/>
        <v>0</v>
      </c>
      <c r="K126" s="13"/>
    </row>
    <row r="127" spans="1:11" ht="35.25" customHeight="1" outlineLevel="1" x14ac:dyDescent="0.3">
      <c r="A127" s="51" t="s">
        <v>276</v>
      </c>
      <c r="B127" s="13" t="s">
        <v>55</v>
      </c>
      <c r="C127" s="13" t="s">
        <v>56</v>
      </c>
      <c r="D127" s="13" t="s">
        <v>122</v>
      </c>
      <c r="E127" s="13" t="s">
        <v>292</v>
      </c>
      <c r="F127" s="61" t="s">
        <v>6</v>
      </c>
      <c r="G127" s="45">
        <v>46131</v>
      </c>
      <c r="H127" s="34">
        <v>14</v>
      </c>
      <c r="I127" s="33">
        <f t="shared" si="15"/>
        <v>46145</v>
      </c>
      <c r="J127" s="82">
        <f t="shared" ref="J127:J130" ca="1" si="22">IFERROR(MAX(0,MIN(1,(TODAY()-G127)/(I127-G127))),"")</f>
        <v>0</v>
      </c>
      <c r="K127" s="13"/>
    </row>
    <row r="128" spans="1:11" ht="35.25" customHeight="1" outlineLevel="1" x14ac:dyDescent="0.3">
      <c r="A128" s="51" t="s">
        <v>276</v>
      </c>
      <c r="B128" s="13" t="s">
        <v>55</v>
      </c>
      <c r="C128" s="13" t="s">
        <v>57</v>
      </c>
      <c r="D128" s="13" t="s">
        <v>275</v>
      </c>
      <c r="E128" s="13" t="s">
        <v>292</v>
      </c>
      <c r="F128" s="61" t="s">
        <v>6</v>
      </c>
      <c r="G128" s="33">
        <f>I56-7</f>
        <v>46154</v>
      </c>
      <c r="H128" s="34">
        <v>7</v>
      </c>
      <c r="I128" s="33">
        <f t="shared" si="15"/>
        <v>46161</v>
      </c>
      <c r="J128" s="82">
        <f t="shared" ca="1" si="22"/>
        <v>0</v>
      </c>
      <c r="K128" s="13" t="s">
        <v>58</v>
      </c>
    </row>
    <row r="129" spans="1:11" ht="35.25" customHeight="1" outlineLevel="1" x14ac:dyDescent="0.3">
      <c r="A129" s="51" t="s">
        <v>276</v>
      </c>
      <c r="B129" s="13" t="s">
        <v>55</v>
      </c>
      <c r="C129" s="13" t="s">
        <v>59</v>
      </c>
      <c r="D129" s="13" t="s">
        <v>60</v>
      </c>
      <c r="E129" s="13" t="s">
        <v>292</v>
      </c>
      <c r="F129" s="61" t="s">
        <v>6</v>
      </c>
      <c r="G129" s="33">
        <f>I56-7</f>
        <v>46154</v>
      </c>
      <c r="H129" s="34">
        <v>7</v>
      </c>
      <c r="I129" s="33">
        <f t="shared" si="15"/>
        <v>46161</v>
      </c>
      <c r="J129" s="82">
        <f t="shared" ca="1" si="22"/>
        <v>0</v>
      </c>
      <c r="K129" s="13" t="s">
        <v>61</v>
      </c>
    </row>
    <row r="130" spans="1:11" ht="35.25" customHeight="1" outlineLevel="1" x14ac:dyDescent="0.3">
      <c r="A130" s="51" t="s">
        <v>161</v>
      </c>
      <c r="B130" s="13" t="s">
        <v>37</v>
      </c>
      <c r="C130" s="13" t="s">
        <v>119</v>
      </c>
      <c r="D130" s="13" t="s">
        <v>215</v>
      </c>
      <c r="E130" s="13" t="s">
        <v>301</v>
      </c>
      <c r="F130" s="61" t="s">
        <v>6</v>
      </c>
      <c r="G130" s="45">
        <f>I75</f>
        <v>46213</v>
      </c>
      <c r="H130" s="34">
        <v>14</v>
      </c>
      <c r="I130" s="33">
        <f t="shared" si="15"/>
        <v>46227</v>
      </c>
      <c r="J130" s="82">
        <f t="shared" ca="1" si="22"/>
        <v>0</v>
      </c>
      <c r="K130" s="13" t="s">
        <v>38</v>
      </c>
    </row>
  </sheetData>
  <autoFilter ref="A3:K130" xr:uid="{00000000-0001-0000-0000-000000000000}"/>
  <phoneticPr fontId="1" type="noConversion"/>
  <conditionalFormatting sqref="F5:F130">
    <cfRule type="cellIs" dxfId="1" priority="1" operator="equal">
      <formula>"On-track"</formula>
    </cfRule>
    <cfRule type="cellIs" dxfId="0" priority="2" operator="equal">
      <formula>"Completed"</formula>
    </cfRule>
  </conditionalFormatting>
  <pageMargins left="0.75" right="0.75" top="1" bottom="1" header="0.5" footer="0.5"/>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3E26EF8-8E09-4CA8-803D-E80EAFCCDBD3}">
          <x14:formula1>
            <xm:f>'Data Validation List'!$B$2:$B$5</xm:f>
          </x14:formula1>
          <xm:sqref>F4:F130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1045A-44D2-49CB-ABC9-619A4644E9DD}">
  <dimension ref="A1:B5"/>
  <sheetViews>
    <sheetView workbookViewId="0">
      <selection activeCell="B6" sqref="B6"/>
    </sheetView>
  </sheetViews>
  <sheetFormatPr defaultRowHeight="15.05" x14ac:dyDescent="0.3"/>
  <sheetData>
    <row r="1" spans="1:2" x14ac:dyDescent="0.3">
      <c r="A1" s="2" t="s">
        <v>71</v>
      </c>
      <c r="B1" s="2" t="s">
        <v>3</v>
      </c>
    </row>
    <row r="2" spans="1:2" x14ac:dyDescent="0.3">
      <c r="A2" t="s">
        <v>7</v>
      </c>
      <c r="B2" t="s">
        <v>6</v>
      </c>
    </row>
    <row r="3" spans="1:2" x14ac:dyDescent="0.3">
      <c r="A3" t="s">
        <v>15</v>
      </c>
      <c r="B3" t="s">
        <v>72</v>
      </c>
    </row>
    <row r="4" spans="1:2" x14ac:dyDescent="0.3">
      <c r="B4" t="s">
        <v>73</v>
      </c>
    </row>
    <row r="5" spans="1:2" x14ac:dyDescent="0.3">
      <c r="B5" t="s">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4839370989C172478E064E5BCF4801F8" ma:contentTypeVersion="3" ma:contentTypeDescription="Ein neues Dokument erstellen." ma:contentTypeScope="" ma:versionID="8b4a6b4d51c90acf6be755d9a00ac49c">
  <xsd:schema xmlns:xsd="http://www.w3.org/2001/XMLSchema" xmlns:xs="http://www.w3.org/2001/XMLSchema" xmlns:p="http://schemas.microsoft.com/office/2006/metadata/properties" xmlns:ns2="21f0fdc0-0d93-4955-8588-5964cc3f9f5f" targetNamespace="http://schemas.microsoft.com/office/2006/metadata/properties" ma:root="true" ma:fieldsID="627b31aa04117aa33a9e667f5f46a580" ns2:_="">
    <xsd:import namespace="21f0fdc0-0d93-4955-8588-5964cc3f9f5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f0fdc0-0d93-4955-8588-5964cc3f9f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F2AA38-48E5-49AA-943B-DD47064FA5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f0fdc0-0d93-4955-8588-5964cc3f9f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F8831F-A399-4D90-8288-EB5B59545CB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D450B77-4CFA-445A-9294-C12A6D24BA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Summary</vt:lpstr>
      <vt:lpstr>JV Readiness Plan</vt:lpstr>
      <vt:lpstr>Data Validation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Silva</cp:lastModifiedBy>
  <dcterms:created xsi:type="dcterms:W3CDTF">2026-01-16T11:47:19Z</dcterms:created>
  <dcterms:modified xsi:type="dcterms:W3CDTF">2026-02-24T13:06:08Z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0x0101004839370989C172478E064E5BCF4801F8</vt:lpwstr>
  </property>
</Properties>
</file>