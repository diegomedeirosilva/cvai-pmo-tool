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cvaberlin.sharepoint.com/sites/MAA1XXA-Crystal/Freigegebene Dokumente/Project/6. Working files/01 Readiness Plans/"/>
    </mc:Choice>
  </mc:AlternateContent>
  <xr:revisionPtr revIDLastSave="707" documentId="8_{D621DC2B-7B29-4154-A641-C1A62B7A2AD6}" xr6:coauthVersionLast="47" xr6:coauthVersionMax="47" xr10:uidLastSave="{4140614E-51C6-4B0C-BCA2-04C613D869DD}"/>
  <bookViews>
    <workbookView xWindow="28680" yWindow="-120" windowWidth="29040" windowHeight="15720" tabRatio="666" activeTab="2" xr2:uid="{00000000-000D-0000-FFFF-FFFF00000000}"/>
  </bookViews>
  <sheets>
    <sheet name="Cover" sheetId="10" r:id="rId1"/>
    <sheet name="Summary" sheetId="5" r:id="rId2"/>
    <sheet name="JV Readiness Plan" sheetId="1" r:id="rId3"/>
    <sheet name="Pivot Table" sheetId="12" r:id="rId4"/>
    <sheet name="Data Validation List" sheetId="4" state="hidden" r:id="rId5"/>
  </sheets>
  <definedNames>
    <definedName name="_xlnm._FilterDatabase" localSheetId="2" hidden="1">'JV Readiness Plan'!$A$3:$L$133</definedName>
    <definedName name="_xlnm._FilterDatabase" localSheetId="1" hidden="1">Summary!$B$3:$G$26</definedName>
    <definedName name="POWER_USER_LINK_EDA81D4C_E424_4C6E_8A36_5F1A4994EB75" comment="{&quot;Id&quot;:&quot;POWER_USER_LINK_EDA81D4C_E424_4C6E_8A36_5F1A4994EB75&quot;,&quot;SourceFullName&quot;:&quot;https://cvaberlin.sharepoint.com/sites/MAA1XXA-Crystal/Freigegebene Dokumente/Project/6. Working files/01 Readiness Plans/Maaden - JV Readiness Plan v4.xlsx!Summary!R4C1:R17C2&quot;">"Summary!R4C1:R17C2"</definedName>
  </definedNames>
  <calcPr calcId="191028" iterateDelta="1E-4"/>
  <pivotCaches>
    <pivotCache cacheId="24"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5" l="1"/>
  <c r="J5" i="5"/>
  <c r="J6" i="5"/>
  <c r="J7" i="5"/>
  <c r="J8" i="5"/>
  <c r="J9" i="5"/>
  <c r="J10" i="5"/>
  <c r="J11" i="5"/>
  <c r="J12" i="5"/>
  <c r="J13" i="5"/>
  <c r="J14" i="5"/>
  <c r="J15" i="5"/>
  <c r="J16" i="5"/>
  <c r="J17" i="5"/>
  <c r="J18" i="5"/>
  <c r="J19" i="5"/>
  <c r="J20" i="5"/>
  <c r="C4" i="5"/>
  <c r="C5" i="5"/>
  <c r="C6" i="5"/>
  <c r="C7" i="5"/>
  <c r="C8" i="5"/>
  <c r="C9" i="5"/>
  <c r="C10" i="5"/>
  <c r="C11" i="5"/>
  <c r="C12" i="5"/>
  <c r="C13" i="5"/>
  <c r="C14" i="5"/>
  <c r="C15" i="5"/>
  <c r="C16" i="5"/>
  <c r="C17" i="5"/>
  <c r="C18" i="5"/>
  <c r="C19" i="5"/>
  <c r="C20" i="5"/>
  <c r="C21" i="5"/>
  <c r="C22" i="5"/>
  <c r="C23" i="5"/>
  <c r="C24" i="5"/>
  <c r="C25" i="5"/>
  <c r="C26" i="5"/>
  <c r="G121" i="1"/>
  <c r="G40" i="1"/>
  <c r="I11" i="1"/>
  <c r="J11" i="1"/>
  <c r="D11" i="10"/>
  <c r="N20" i="5"/>
  <c r="M20" i="5"/>
  <c r="K20" i="5"/>
  <c r="N19" i="5"/>
  <c r="M19" i="5"/>
  <c r="K19" i="5"/>
  <c r="N18" i="5"/>
  <c r="M18" i="5"/>
  <c r="K18" i="5"/>
  <c r="N17" i="5"/>
  <c r="M17" i="5"/>
  <c r="K17" i="5"/>
  <c r="N16" i="5"/>
  <c r="M16" i="5"/>
  <c r="K16" i="5"/>
  <c r="N15" i="5"/>
  <c r="M15" i="5"/>
  <c r="K15" i="5"/>
  <c r="N14" i="5"/>
  <c r="M14" i="5"/>
  <c r="K14" i="5"/>
  <c r="N13" i="5"/>
  <c r="M13" i="5"/>
  <c r="K13" i="5"/>
  <c r="N12" i="5"/>
  <c r="M12" i="5"/>
  <c r="K12" i="5"/>
  <c r="N11" i="5"/>
  <c r="M11" i="5"/>
  <c r="K11" i="5"/>
  <c r="N10" i="5"/>
  <c r="M10" i="5"/>
  <c r="K10" i="5"/>
  <c r="N9" i="5"/>
  <c r="M9" i="5"/>
  <c r="K9" i="5"/>
  <c r="N8" i="5"/>
  <c r="M8" i="5"/>
  <c r="K8" i="5"/>
  <c r="N7" i="5"/>
  <c r="M7" i="5"/>
  <c r="K7" i="5"/>
  <c r="N6" i="5"/>
  <c r="M6" i="5"/>
  <c r="K6" i="5"/>
  <c r="N5" i="5"/>
  <c r="M5" i="5"/>
  <c r="K5" i="5"/>
  <c r="N4" i="5"/>
  <c r="M4" i="5"/>
  <c r="K4" i="5"/>
  <c r="I65" i="1"/>
  <c r="F21" i="5"/>
  <c r="E21" i="5"/>
  <c r="G21" i="5"/>
  <c r="F24" i="5"/>
  <c r="E24" i="5"/>
  <c r="G24" i="5"/>
  <c r="F12" i="5"/>
  <c r="E12" i="5"/>
  <c r="G12" i="5"/>
  <c r="F4" i="5"/>
  <c r="E4" i="5"/>
  <c r="G4" i="5"/>
  <c r="F26" i="5"/>
  <c r="E26" i="5"/>
  <c r="G26" i="5"/>
  <c r="F8" i="5"/>
  <c r="E8" i="5"/>
  <c r="G8" i="5"/>
  <c r="F16" i="5"/>
  <c r="E16" i="5"/>
  <c r="G16" i="5"/>
  <c r="F22" i="5"/>
  <c r="E22" i="5"/>
  <c r="G22" i="5"/>
  <c r="F23" i="5"/>
  <c r="E23" i="5"/>
  <c r="G23" i="5"/>
  <c r="F18" i="5"/>
  <c r="E18" i="5"/>
  <c r="G18" i="5"/>
  <c r="F6" i="5"/>
  <c r="E6" i="5"/>
  <c r="G6" i="5"/>
  <c r="F10" i="5"/>
  <c r="E10" i="5"/>
  <c r="G10" i="5"/>
  <c r="F20" i="5"/>
  <c r="E20" i="5"/>
  <c r="G20" i="5"/>
  <c r="F19" i="5"/>
  <c r="E19" i="5"/>
  <c r="G19" i="5"/>
  <c r="F13" i="5"/>
  <c r="E13" i="5"/>
  <c r="G13" i="5"/>
  <c r="F15" i="5"/>
  <c r="E15" i="5"/>
  <c r="G15" i="5"/>
  <c r="F17" i="5"/>
  <c r="E17" i="5"/>
  <c r="G17" i="5"/>
  <c r="F9" i="5"/>
  <c r="E9" i="5"/>
  <c r="G9" i="5"/>
  <c r="F25" i="5"/>
  <c r="E25" i="5"/>
  <c r="G25" i="5"/>
  <c r="F11" i="5"/>
  <c r="E11" i="5"/>
  <c r="G11" i="5"/>
  <c r="F7" i="5"/>
  <c r="E7" i="5"/>
  <c r="G7" i="5"/>
  <c r="F5" i="5"/>
  <c r="E5" i="5"/>
  <c r="G5" i="5"/>
  <c r="F14" i="5"/>
  <c r="E14" i="5"/>
  <c r="G14" i="5"/>
  <c r="I61" i="1"/>
  <c r="G62" i="1" s="1"/>
  <c r="I62" i="1" s="1"/>
  <c r="J62" i="1" s="1"/>
  <c r="I55" i="1"/>
  <c r="J55" i="1" s="1"/>
  <c r="I53" i="1"/>
  <c r="J53" i="1" s="1"/>
  <c r="I51" i="1"/>
  <c r="G52" i="1" s="1"/>
  <c r="I50" i="1"/>
  <c r="J50" i="1" s="1"/>
  <c r="I49" i="1"/>
  <c r="J49" i="1" s="1"/>
  <c r="I35" i="1"/>
  <c r="I130" i="1"/>
  <c r="J130" i="1" s="1"/>
  <c r="I120" i="1"/>
  <c r="J120" i="1" s="1"/>
  <c r="I97" i="1"/>
  <c r="I95" i="1"/>
  <c r="I94" i="1"/>
  <c r="J94" i="1" s="1"/>
  <c r="I104" i="1"/>
  <c r="J104" i="1" s="1"/>
  <c r="I70" i="1"/>
  <c r="I67" i="1"/>
  <c r="J67" i="1" s="1"/>
  <c r="I66" i="1"/>
  <c r="J66" i="1" s="1"/>
  <c r="I64" i="1"/>
  <c r="J64" i="1" s="1"/>
  <c r="I60" i="1"/>
  <c r="J60" i="1" s="1"/>
  <c r="I5" i="1"/>
  <c r="J5" i="1" s="1"/>
  <c r="I58" i="1"/>
  <c r="J58" i="1" s="1"/>
  <c r="I48" i="1"/>
  <c r="J48" i="1" s="1"/>
  <c r="I42" i="1"/>
  <c r="J42" i="1" s="1"/>
  <c r="I41" i="1"/>
  <c r="J41" i="1" s="1"/>
  <c r="I40" i="1"/>
  <c r="J40" i="1" s="1"/>
  <c r="I39" i="1"/>
  <c r="J39" i="1" s="1"/>
  <c r="I45" i="1"/>
  <c r="J45" i="1" s="1"/>
  <c r="I44" i="1"/>
  <c r="J44" i="1" s="1"/>
  <c r="I43" i="1"/>
  <c r="J43" i="1" s="1"/>
  <c r="I34" i="1"/>
  <c r="I30" i="1"/>
  <c r="I8" i="1"/>
  <c r="I26" i="1"/>
  <c r="J26" i="1" s="1"/>
  <c r="I23" i="1"/>
  <c r="J23" i="1" s="1"/>
  <c r="I19" i="1"/>
  <c r="J19" i="1" s="1"/>
  <c r="I16" i="1"/>
  <c r="M2" i="5" l="1"/>
  <c r="K2" i="5"/>
  <c r="N2" i="5"/>
  <c r="E2" i="5"/>
  <c r="G2" i="5"/>
  <c r="F2" i="5"/>
  <c r="J61" i="1"/>
  <c r="I63" i="1"/>
  <c r="J63" i="1" s="1"/>
  <c r="I24" i="1"/>
  <c r="J24" i="1" s="1"/>
  <c r="G59" i="1"/>
  <c r="I59" i="1" s="1"/>
  <c r="J59" i="1" s="1"/>
  <c r="G54" i="1"/>
  <c r="I54" i="1" s="1"/>
  <c r="J54" i="1" s="1"/>
  <c r="I52" i="1"/>
  <c r="J52" i="1" s="1"/>
  <c r="J51" i="1"/>
  <c r="G105" i="1"/>
  <c r="I105" i="1" s="1"/>
  <c r="I115" i="1"/>
  <c r="J115" i="1" s="1"/>
  <c r="J30" i="1"/>
  <c r="J34" i="1"/>
  <c r="I121" i="1"/>
  <c r="J8" i="1"/>
  <c r="G96" i="1"/>
  <c r="J95" i="1"/>
  <c r="J97" i="1"/>
  <c r="G98" i="1"/>
  <c r="I98" i="1" s="1"/>
  <c r="J98" i="1" s="1"/>
  <c r="G56" i="1"/>
  <c r="G17" i="1"/>
  <c r="I17" i="1" s="1"/>
  <c r="J16" i="1"/>
  <c r="J70" i="1"/>
  <c r="G7" i="1"/>
  <c r="G6" i="1"/>
  <c r="G71" i="1"/>
  <c r="G46" i="1"/>
  <c r="J2" i="5" l="1"/>
  <c r="C2" i="5"/>
  <c r="I7" i="1"/>
  <c r="G25" i="1"/>
  <c r="I25" i="1" s="1"/>
  <c r="J25" i="1" s="1"/>
  <c r="G123" i="1"/>
  <c r="I123" i="1" s="1"/>
  <c r="J123" i="1" s="1"/>
  <c r="G124" i="1"/>
  <c r="I56" i="1"/>
  <c r="J56" i="1" s="1"/>
  <c r="G106" i="1"/>
  <c r="I106" i="1" s="1"/>
  <c r="G110" i="1"/>
  <c r="I96" i="1"/>
  <c r="J96" i="1" s="1"/>
  <c r="J105" i="1"/>
  <c r="G107" i="1"/>
  <c r="I107" i="1" s="1"/>
  <c r="I125" i="1"/>
  <c r="J125" i="1" s="1"/>
  <c r="G47" i="1"/>
  <c r="J17" i="1"/>
  <c r="I31" i="1"/>
  <c r="I71" i="1"/>
  <c r="J71" i="1" s="1"/>
  <c r="I6" i="1"/>
  <c r="G38" i="1"/>
  <c r="I46" i="1"/>
  <c r="J46" i="1" s="1"/>
  <c r="J35" i="1"/>
  <c r="G18" i="1"/>
  <c r="G88" i="1" l="1"/>
  <c r="I88" i="1" s="1"/>
  <c r="G89" i="1" s="1"/>
  <c r="J106" i="1"/>
  <c r="J107" i="1"/>
  <c r="G108" i="1"/>
  <c r="J7" i="1"/>
  <c r="G9" i="1"/>
  <c r="I9" i="1" s="1"/>
  <c r="J9" i="1" s="1"/>
  <c r="G132" i="1"/>
  <c r="G131" i="1"/>
  <c r="G128" i="1"/>
  <c r="G127" i="1"/>
  <c r="G126" i="1"/>
  <c r="I69" i="1"/>
  <c r="J69" i="1" s="1"/>
  <c r="G68" i="1"/>
  <c r="I68" i="1" s="1"/>
  <c r="J65" i="1"/>
  <c r="I47" i="1"/>
  <c r="H47" i="1" s="1"/>
  <c r="I27" i="1"/>
  <c r="J6" i="1"/>
  <c r="J31" i="1"/>
  <c r="G32" i="1"/>
  <c r="G29" i="1" s="1"/>
  <c r="I38" i="1"/>
  <c r="H38" i="1" s="1"/>
  <c r="G36" i="1"/>
  <c r="J121" i="1"/>
  <c r="I18" i="1"/>
  <c r="J18" i="1" s="1"/>
  <c r="I117" i="1" l="1"/>
  <c r="I89" i="1"/>
  <c r="J89" i="1" s="1"/>
  <c r="J88" i="1"/>
  <c r="I132" i="1"/>
  <c r="J132" i="1" s="1"/>
  <c r="I131" i="1"/>
  <c r="J131" i="1" s="1"/>
  <c r="I128" i="1"/>
  <c r="J128" i="1" s="1"/>
  <c r="I127" i="1"/>
  <c r="J127" i="1" s="1"/>
  <c r="I126" i="1"/>
  <c r="J126" i="1" s="1"/>
  <c r="I124" i="1"/>
  <c r="J124" i="1" s="1"/>
  <c r="I32" i="1"/>
  <c r="I29" i="1" s="1"/>
  <c r="G72" i="1"/>
  <c r="I72" i="1" s="1"/>
  <c r="G73" i="1" s="1"/>
  <c r="J68" i="1"/>
  <c r="G28" i="1"/>
  <c r="I28" i="1" s="1"/>
  <c r="J27" i="1"/>
  <c r="G10" i="1"/>
  <c r="I36" i="1"/>
  <c r="G118" i="1" l="1"/>
  <c r="J117" i="1"/>
  <c r="J32" i="1"/>
  <c r="J72" i="1"/>
  <c r="J28" i="1"/>
  <c r="G22" i="1"/>
  <c r="G37" i="1"/>
  <c r="J36" i="1"/>
  <c r="I73" i="1"/>
  <c r="G75" i="1" s="1"/>
  <c r="I10" i="1"/>
  <c r="G12" i="1" s="1"/>
  <c r="I22" i="1"/>
  <c r="I118" i="1" l="1"/>
  <c r="I75" i="1"/>
  <c r="J75" i="1" s="1"/>
  <c r="J10" i="1"/>
  <c r="G102" i="1"/>
  <c r="I102" i="1" s="1"/>
  <c r="J102" i="1" s="1"/>
  <c r="H22" i="1"/>
  <c r="I37" i="1"/>
  <c r="G33" i="1"/>
  <c r="I20" i="1"/>
  <c r="G74" i="1"/>
  <c r="J73" i="1"/>
  <c r="G119" i="1" l="1"/>
  <c r="I119" i="1" s="1"/>
  <c r="J119" i="1" s="1"/>
  <c r="J118" i="1"/>
  <c r="I12" i="1"/>
  <c r="G21" i="1"/>
  <c r="J20" i="1"/>
  <c r="J37" i="1"/>
  <c r="I33" i="1"/>
  <c r="H33" i="1" s="1"/>
  <c r="I74" i="1"/>
  <c r="G13" i="1" l="1"/>
  <c r="J12" i="1"/>
  <c r="G15" i="1"/>
  <c r="I21" i="1"/>
  <c r="I15" i="1" s="1"/>
  <c r="J74" i="1"/>
  <c r="G76" i="1"/>
  <c r="I13" i="1" l="1"/>
  <c r="J21" i="1"/>
  <c r="H15" i="1"/>
  <c r="I76" i="1"/>
  <c r="G57" i="1"/>
  <c r="G112" i="1" l="1"/>
  <c r="I112" i="1" s="1"/>
  <c r="J112" i="1" s="1"/>
  <c r="G116" i="1"/>
  <c r="G14" i="1"/>
  <c r="J13" i="1"/>
  <c r="G111" i="1"/>
  <c r="I111" i="1" s="1"/>
  <c r="J111" i="1" s="1"/>
  <c r="G101" i="1"/>
  <c r="G122" i="1"/>
  <c r="G133" i="1"/>
  <c r="G129" i="1"/>
  <c r="I129" i="1" s="1"/>
  <c r="J129" i="1" s="1"/>
  <c r="I108" i="1"/>
  <c r="G109" i="1" s="1"/>
  <c r="I114" i="1"/>
  <c r="J114" i="1" s="1"/>
  <c r="G113" i="1"/>
  <c r="I113" i="1" s="1"/>
  <c r="J113" i="1" s="1"/>
  <c r="I110" i="1"/>
  <c r="I99" i="1"/>
  <c r="G100" i="1"/>
  <c r="G90" i="1"/>
  <c r="G83" i="1"/>
  <c r="I83" i="1" s="1"/>
  <c r="J83" i="1" s="1"/>
  <c r="I57" i="1"/>
  <c r="H57" i="1" s="1"/>
  <c r="G79" i="1"/>
  <c r="I79" i="1" s="1"/>
  <c r="J79" i="1" s="1"/>
  <c r="G80" i="1"/>
  <c r="I80" i="1" s="1"/>
  <c r="G82" i="1"/>
  <c r="I82" i="1" s="1"/>
  <c r="J82" i="1" s="1"/>
  <c r="G84" i="1"/>
  <c r="I84" i="1" s="1"/>
  <c r="J84" i="1" s="1"/>
  <c r="G85" i="1"/>
  <c r="I85" i="1" s="1"/>
  <c r="J85" i="1" s="1"/>
  <c r="G86" i="1"/>
  <c r="I86" i="1" s="1"/>
  <c r="J86" i="1" s="1"/>
  <c r="G78" i="1"/>
  <c r="G81" i="1"/>
  <c r="I81" i="1" s="1"/>
  <c r="J81" i="1" s="1"/>
  <c r="J76" i="1"/>
  <c r="G91" i="1" l="1"/>
  <c r="I90" i="1"/>
  <c r="I116" i="1"/>
  <c r="J116" i="1" s="1"/>
  <c r="G4" i="1"/>
  <c r="I14" i="1"/>
  <c r="I122" i="1"/>
  <c r="J122" i="1" s="1"/>
  <c r="I133" i="1"/>
  <c r="J133" i="1" s="1"/>
  <c r="J110" i="1"/>
  <c r="J108" i="1"/>
  <c r="J99" i="1"/>
  <c r="I100" i="1"/>
  <c r="I78" i="1"/>
  <c r="G77" i="1"/>
  <c r="I91" i="1" l="1"/>
  <c r="G92" i="1" s="1"/>
  <c r="I92" i="1" s="1"/>
  <c r="J92" i="1" s="1"/>
  <c r="I4" i="1"/>
  <c r="H4" i="1" s="1"/>
  <c r="J14" i="1"/>
  <c r="J100" i="1"/>
  <c r="G103" i="1"/>
  <c r="G93" i="1" s="1"/>
  <c r="J90" i="1"/>
  <c r="I109" i="1"/>
  <c r="J109" i="1" s="1"/>
  <c r="I101" i="1"/>
  <c r="I77" i="1"/>
  <c r="J78" i="1"/>
  <c r="I87" i="1" l="1"/>
  <c r="G87" i="1"/>
  <c r="J91" i="1"/>
  <c r="I103" i="1"/>
  <c r="I93" i="1" s="1"/>
  <c r="J101" i="1"/>
  <c r="H87" i="1" l="1"/>
  <c r="J103" i="1"/>
  <c r="H93" i="1" l="1"/>
  <c r="H77" i="1" l="1"/>
  <c r="J80" i="1"/>
  <c r="I1" i="1" l="1"/>
  <c r="H29" i="1"/>
</calcChain>
</file>

<file path=xl/sharedStrings.xml><?xml version="1.0" encoding="utf-8"?>
<sst xmlns="http://schemas.openxmlformats.org/spreadsheetml/2006/main" count="897" uniqueCount="372">
  <si>
    <t>Title</t>
  </si>
  <si>
    <t>Project Crystal - JV Day 1 Readiness Plan</t>
  </si>
  <si>
    <t>Description</t>
  </si>
  <si>
    <t>All actions required to achieve JV Day-1 operational readiness</t>
  </si>
  <si>
    <t>Date</t>
  </si>
  <si>
    <t>REQUIREMENTS BY OWNER</t>
  </si>
  <si>
    <t>Owner</t>
  </si>
  <si>
    <t>Total</t>
  </si>
  <si>
    <t>Not started</t>
  </si>
  <si>
    <t>On-track</t>
  </si>
  <si>
    <t>Completed</t>
  </si>
  <si>
    <t>Delayed</t>
  </si>
  <si>
    <t>Workstream</t>
  </si>
  <si>
    <t>SHA</t>
  </si>
  <si>
    <t>Muddassar</t>
  </si>
  <si>
    <t>Legal</t>
  </si>
  <si>
    <t>Hassen Moolla</t>
  </si>
  <si>
    <t>Governance</t>
  </si>
  <si>
    <t>Ramesh Murugesan</t>
  </si>
  <si>
    <t>Finance</t>
  </si>
  <si>
    <t>Mawiyah Alqaed</t>
  </si>
  <si>
    <t>IT</t>
  </si>
  <si>
    <t>Procurement</t>
  </si>
  <si>
    <t>HR</t>
  </si>
  <si>
    <t>Faraj Al Dossary</t>
  </si>
  <si>
    <t>HSSE</t>
  </si>
  <si>
    <t>Rene Thumbran</t>
  </si>
  <si>
    <t>Comms</t>
  </si>
  <si>
    <t>Facilities</t>
  </si>
  <si>
    <t>Susan Parker</t>
  </si>
  <si>
    <t>Owen Hatton</t>
  </si>
  <si>
    <t>Maaden and Aramco CEOs</t>
  </si>
  <si>
    <t>Abdullah Alzamil</t>
  </si>
  <si>
    <t>Karim Mehboob</t>
  </si>
  <si>
    <t>Marwan Sutan</t>
  </si>
  <si>
    <t>Aramco</t>
  </si>
  <si>
    <t>Fathima Mahomed</t>
  </si>
  <si>
    <t>Raoof Madathil</t>
  </si>
  <si>
    <t>PROJECT CRYSTAL - JV DAY-1 READINESS PLAN</t>
  </si>
  <si>
    <t>Day-1 target date</t>
  </si>
  <si>
    <t>Category</t>
  </si>
  <si>
    <t>Requirement</t>
  </si>
  <si>
    <t>Action</t>
  </si>
  <si>
    <t>Status</t>
  </si>
  <si>
    <t>Start date</t>
  </si>
  <si>
    <t>Duration</t>
  </si>
  <si>
    <t>End date</t>
  </si>
  <si>
    <t>Target Completion (%)</t>
  </si>
  <si>
    <t>Budget and Business Plan</t>
  </si>
  <si>
    <t>Budget and BP</t>
  </si>
  <si>
    <t>Clarify roles and responsibilities across Maaden finance and technical teams. Define who provides what, sources of information, and internal points of contact for each workstream.</t>
  </si>
  <si>
    <t>Identify the full list of inputs and assumptions required to build the model. Define sources and providers for each item, and set deadlines for delivery.</t>
  </si>
  <si>
    <t>5-Year Exploration Plan</t>
  </si>
  <si>
    <t>Develop 5-year Exploration Plan (2026-2030)</t>
  </si>
  <si>
    <t xml:space="preserve">JV Day-1 Org Chart </t>
  </si>
  <si>
    <t>Finalize the Day-1 organization structure (confirm minimal technical staff requirements, including HSSE)</t>
  </si>
  <si>
    <t>Construct the financial and operational model based on the defined inputs, assumptions, and agreed structure. Ensure formulas are robust and the model is auditable.</t>
  </si>
  <si>
    <t>Not Started</t>
  </si>
  <si>
    <t>Package BP into Final Deliverable</t>
  </si>
  <si>
    <t>BP Final Deliverable validation</t>
  </si>
  <si>
    <t>Validate final deliverables</t>
  </si>
  <si>
    <t>Share the finalized BP with Aramco for review. Collect feedback, incorporate agreed changes, and lock the final version for approval</t>
  </si>
  <si>
    <t>TSA</t>
  </si>
  <si>
    <t>Develop the catalogue of technical services to be provided by Maaden to the JV under the TSA, identify what services are to be provided by 3d parties</t>
  </si>
  <si>
    <t>Define the pricing methodology: establish the approach and basis for pricing each category of services (e.g., cost-plus, market benchmark, fixed fee)</t>
  </si>
  <si>
    <t>Apply the agreed pricing methodology to determine the applicable rates for each service in the catalogue</t>
  </si>
  <si>
    <t>Define TSA governance structure and process: how TSA services are requested, approved, monitored, billed, paid, accounted (TSA management process)</t>
  </si>
  <si>
    <t>Finalize the TSA legal framework:  draft and agree on the legal terms and conditions governing the provision of services, including scope, performance standards, liability, and termination provisions</t>
  </si>
  <si>
    <t>Share the finalized TSA version with Aramco for review. Collect feedback, incorporate agreed changes, and lock the final version for approval.</t>
  </si>
  <si>
    <t>GSA</t>
  </si>
  <si>
    <t>Develop the catalogue of services to be provided by Maaden to the JV under the GSA</t>
  </si>
  <si>
    <t>Define GSA governance structure and process : how GSA services are requested, approved, monitored, billed, paid, accounted (GSA management process)</t>
  </si>
  <si>
    <t>Finalize the GSA legal framework:  draft and agree on the legal terms and conditions governing the provision of services, including scope, performance standards, liability, and termination provisions</t>
  </si>
  <si>
    <t>Share the finalized TSA version with Aramco for review. Collect feedback, incorporate agreed changes, and lock the final version for approval</t>
  </si>
  <si>
    <t>DoA</t>
  </si>
  <si>
    <t>Obtain reference governance framework, obtain Maaden's existing Authority Matrix and Aramco's governance frameworks as benchmarks for the JV</t>
  </si>
  <si>
    <t>Complete Design of DoA (Shedule 15)</t>
  </si>
  <si>
    <t>Share the finalized DoA version with Aramco for review. Collect feedback, incorporate agreed changes, and lock the final version for approval</t>
  </si>
  <si>
    <t xml:space="preserve">Secondment </t>
  </si>
  <si>
    <t>Secondment framework</t>
  </si>
  <si>
    <t>Develop secondment framework agreement (duration, cost basis, reporting lines, benefits)</t>
  </si>
  <si>
    <t>Define cost allocation methodology and determine cost rates for secondees</t>
  </si>
  <si>
    <t>Draft JV secondment agreement</t>
  </si>
  <si>
    <t>Share the finalized Secondment Agreement with Aramco for review. Collect feedback, incorporate agreed changes, and lock the final version for approval</t>
  </si>
  <si>
    <t>SHA documentation</t>
  </si>
  <si>
    <t>Exploration License Assignment Agreeement</t>
  </si>
  <si>
    <t>Finalize Exploration License Assignment Agreeement</t>
  </si>
  <si>
    <t xml:space="preserve">Exploration Services Agreement </t>
  </si>
  <si>
    <t xml:space="preserve">Finalize Exploration Services Agreement </t>
  </si>
  <si>
    <t>Share the final SHA documentation with Aramco for review. Collect feedback, incorporate agreed changes, and lock the final version for approval</t>
  </si>
  <si>
    <t>Corporate approval</t>
  </si>
  <si>
    <t>Maaden IC</t>
  </si>
  <si>
    <t>Prepare material and obtain approval at Maaden Investment Committee meeting</t>
  </si>
  <si>
    <t>Maaden ExCom</t>
  </si>
  <si>
    <t>Prepare material and obtain approval at Maaden Excom meeting (Feb 17)</t>
  </si>
  <si>
    <t>Maaden BoD</t>
  </si>
  <si>
    <t>Prepare material and obtain approval at BoD meeting (Mar 5)</t>
  </si>
  <si>
    <t>Draft 365 Day Implementation Plan</t>
  </si>
  <si>
    <t>Draft JV Long-term Implementation Plan (key milestones)</t>
  </si>
  <si>
    <t>Board of Directors Aramco</t>
  </si>
  <si>
    <t>Obtain approval at BoD meeting (mid-May)</t>
  </si>
  <si>
    <t>SHA signed by both Shareholders</t>
  </si>
  <si>
    <t>Sign Shareholder Agreement</t>
  </si>
  <si>
    <t>Entity Formation</t>
  </si>
  <si>
    <t>Power of Attorney (PoA)</t>
  </si>
  <si>
    <t>Trade name reservation</t>
  </si>
  <si>
    <t>Submit reservation of Trade name with Saudi Business Center (SBC), and obtain name approval from MOC</t>
  </si>
  <si>
    <t>Constitutional documents</t>
  </si>
  <si>
    <t>Gather constitutional documents and Financial Statements (e.g., certificate of incorporation and articles (or equivalent) and audited financial statements of each Shareholder</t>
  </si>
  <si>
    <t>Corporate Governance Setup</t>
  </si>
  <si>
    <t xml:space="preserve">Initial Board remuneration </t>
  </si>
  <si>
    <t>Board members nomination</t>
  </si>
  <si>
    <t>Both shareholders nominate board members</t>
  </si>
  <si>
    <t>Board members’ and GM information</t>
  </si>
  <si>
    <t>Details of the ultimate beneficiary(ies) for MOC</t>
  </si>
  <si>
    <t>Gather information of the ultimate beneficiaries for Ministry of Commerce</t>
  </si>
  <si>
    <t>Board members/GM appointment consent</t>
  </si>
  <si>
    <t>GAC no-notification application form</t>
  </si>
  <si>
    <t>Prepare GAC no-notification application form to be submitted to the GAC</t>
  </si>
  <si>
    <t>GAC no-notification economic report</t>
  </si>
  <si>
    <t>Submit GAC no-notification economic report</t>
  </si>
  <si>
    <t>GAC approval</t>
  </si>
  <si>
    <t>Apply for and receive all required antitrust approvals (including GAC confirmation of non-applicability)</t>
  </si>
  <si>
    <t>Draft AoA incorporating SHA terms and get shareholders approval</t>
  </si>
  <si>
    <t xml:space="preserve">Submit AoA through SBC Portal (MOC) for MOC approval </t>
  </si>
  <si>
    <t>AoA signing</t>
  </si>
  <si>
    <t xml:space="preserve">AoA issuing </t>
  </si>
  <si>
    <t>Complete payment of the MOC application and publication fees, Deliver Articles of Association issued electronically via the SBC portal</t>
  </si>
  <si>
    <t>Commercial Registration (CR)</t>
  </si>
  <si>
    <t>Obtain CR from Ministry of Commerce</t>
  </si>
  <si>
    <t xml:space="preserve">Post-formation registration </t>
  </si>
  <si>
    <t>Chamber of Commerce registration</t>
  </si>
  <si>
    <t>Register with local Chamber of Commerce</t>
  </si>
  <si>
    <t>ZAKAT, TAX and Customs registration</t>
  </si>
  <si>
    <t>Register with the ZAKAT, Tax and Customs Authority</t>
  </si>
  <si>
    <t>VAT registration</t>
  </si>
  <si>
    <t>Register for VAT with ZATCA</t>
  </si>
  <si>
    <t>GOSI registration</t>
  </si>
  <si>
    <t>Register with General Organization for Social Insurance (GOSI)</t>
  </si>
  <si>
    <t>MHRSD registration</t>
  </si>
  <si>
    <t>Register with Ministry of Human Resources (MHRSD)</t>
  </si>
  <si>
    <t>Saudi Post Registration</t>
  </si>
  <si>
    <t>Registration with the Saudi Post Office</t>
  </si>
  <si>
    <t>Municipality License</t>
  </si>
  <si>
    <t>Obtain a municipality License from Ministry of Municipal and Rural Affairs</t>
  </si>
  <si>
    <t>Nitaqat classification</t>
  </si>
  <si>
    <t>Obtain initial Saudization classification</t>
  </si>
  <si>
    <t>Civil Defence Certificate</t>
  </si>
  <si>
    <t>Obtain a Civil Defence Certificate, as necessary</t>
  </si>
  <si>
    <t>BoD Charter</t>
  </si>
  <si>
    <t>Develop BoD Charter (incl. board composition, committees, authority matrices, voting &amp; veto rights, exec management governance, performance assessment)</t>
  </si>
  <si>
    <t>Board of Directors on-boarding</t>
  </si>
  <si>
    <t>Prepare on-boarding documentation for JV Board of Directors</t>
  </si>
  <si>
    <t>Shareholders Resolution (General Assembly)</t>
  </si>
  <si>
    <t>Inaugural Board meeting</t>
  </si>
  <si>
    <t>Prepare and conduct first Board meeting and approve foundational resolutions (e.g. company accession)</t>
  </si>
  <si>
    <t>Executive management transition plan</t>
  </si>
  <si>
    <t>Develop executive management transition support plan to support smooth handover from setup phase to operational governance</t>
  </si>
  <si>
    <t>Operational readiness</t>
  </si>
  <si>
    <t>Identify policy required for JV to operate and develop Finance Policy Manual</t>
  </si>
  <si>
    <t>Define Finance KPIs &amp; monitor main performance measurement indicators</t>
  </si>
  <si>
    <t>Define standard monthly /quarterly financial report templates (including BoD, shareholders) and align with Aramco CFO</t>
  </si>
  <si>
    <t>Agree on external auditor selection criteria and process, define audit committee role, and confirm audit timeline for Year 1</t>
  </si>
  <si>
    <t>External auditor selection</t>
  </si>
  <si>
    <t>Identify and shortlist external auditors, define scope of audit, present recommendation to Board for approval at inaugural meeting</t>
  </si>
  <si>
    <t>Initial Insurance protection</t>
  </si>
  <si>
    <t>Identify and procure insurance coverage for the JV (D&amp;O liability, general liability, professional indemnity, property/equipment insurance for exploration activities)</t>
  </si>
  <si>
    <t>Corporate bank accounts</t>
  </si>
  <si>
    <t>Open bank accounts</t>
  </si>
  <si>
    <t>Bank signatory authorization</t>
  </si>
  <si>
    <t>Register authorized signatories</t>
  </si>
  <si>
    <t>Cash call schedule Year 1</t>
  </si>
  <si>
    <t>Define quarterly funding schedule</t>
  </si>
  <si>
    <t>Initial capital contribution</t>
  </si>
  <si>
    <t>Initial cash call from shareholders</t>
  </si>
  <si>
    <t>Scoping and requirement documentation</t>
  </si>
  <si>
    <t>Prepare and conduct workshop with Aramco IT to showcase Maaden systems capabilities and agree on IT strategy</t>
  </si>
  <si>
    <t>Implement systems (configuration, training, testing, deployment)</t>
  </si>
  <si>
    <t>Grant relevant system access to end users</t>
  </si>
  <si>
    <t>Chart of Accounts configuration</t>
  </si>
  <si>
    <t>Load CoA in ERP</t>
  </si>
  <si>
    <t xml:space="preserve">Acquire / subscribe to systems needed for JV operations (not available through shareholders) </t>
  </si>
  <si>
    <t>Prepare and run training sessions with JV employees on relevant systems and processes</t>
  </si>
  <si>
    <t>Cybersecurity training</t>
  </si>
  <si>
    <t>Prepare and run cybersecurity training sessions with day-1 staff</t>
  </si>
  <si>
    <t>Register JV email domain (if any) and create email accounts for Day-1 staff</t>
  </si>
  <si>
    <t>Provide laptops and mobile phones for day-1 staff</t>
  </si>
  <si>
    <t>Set up network infrastructure and internet (switches, firewall, routers)</t>
  </si>
  <si>
    <t>Aramco Data migration plan</t>
  </si>
  <si>
    <t>Manage and oversee data migration plan for all relevant data</t>
  </si>
  <si>
    <t>Extend Maaden procurement policies to the JV</t>
  </si>
  <si>
    <t>Determine which positions will be filled by secondees</t>
  </si>
  <si>
    <t>Secondee nomination and mobilization</t>
  </si>
  <si>
    <t xml:space="preserve">Define main JV secondees performance KPIs </t>
  </si>
  <si>
    <t xml:space="preserve">Set up HR processes, policies and systems for JV </t>
  </si>
  <si>
    <t>Define JV's HSE policies, procedures and systems requirements</t>
  </si>
  <si>
    <t>Set up HSE processes, policies and systems for JV (e.g. incident reporting system)</t>
  </si>
  <si>
    <t>Emergency Response Plan</t>
  </si>
  <si>
    <t>Develop emergency response plan</t>
  </si>
  <si>
    <t>Field HSSE plan</t>
  </si>
  <si>
    <t>Develop HSSE plan for exploration activities</t>
  </si>
  <si>
    <t>PPE procurement request</t>
  </si>
  <si>
    <t>Request  personal protective equipment for relevant day-1 staff</t>
  </si>
  <si>
    <t>Stakeholder comms plan</t>
  </si>
  <si>
    <t>Develop external stakeholder communications plan</t>
  </si>
  <si>
    <t>Press release (Day-1)</t>
  </si>
  <si>
    <t>Prepare and publish press-release for launch announcement</t>
  </si>
  <si>
    <t>Government stakeholder briefing</t>
  </si>
  <si>
    <t>Brief key government stakeholders</t>
  </si>
  <si>
    <t>Define permanent HQ location setup plan, and secure physical office space (e.g. sign leasing contract if needed)</t>
  </si>
  <si>
    <t>Critical</t>
  </si>
  <si>
    <t>Yes</t>
  </si>
  <si>
    <t>No</t>
  </si>
  <si>
    <t>Formally register all Aramco directors with MOC</t>
  </si>
  <si>
    <t>GR</t>
  </si>
  <si>
    <t>Formally register all Maaden  directors with MOC</t>
  </si>
  <si>
    <t>Actual Completion (%)</t>
  </si>
  <si>
    <t>Develop a Procurement Plan to cover scope not addressed by existing contracts, based on the outcomes of the Contract Capacity Review.</t>
  </si>
  <si>
    <t>JV Procurement Plan</t>
  </si>
  <si>
    <t>Estimate procurement activity volumes and define resource requirements to support JV demand</t>
  </si>
  <si>
    <t>Assess the capacity of Maaden's existing contracts against the JV's projected demand, based on the JV Technical Work Program</t>
  </si>
  <si>
    <t>Maaden Contracts Capacity Review</t>
  </si>
  <si>
    <t>Procurement Demand Assessment</t>
  </si>
  <si>
    <t>Procurement Policies</t>
  </si>
  <si>
    <t>Budget and BP Inputs &amp; Assumptions</t>
  </si>
  <si>
    <t>Budget &amp; BP Roles &amp; Data Sources</t>
  </si>
  <si>
    <t>Build Draft BP Model</t>
  </si>
  <si>
    <t>Validate BP with Key Maaden Stakeholders</t>
  </si>
  <si>
    <t>Aramco Feedback on BP &amp; Update</t>
  </si>
  <si>
    <t xml:space="preserve">TSA Technical Services Catalogue </t>
  </si>
  <si>
    <t>TSA Charge-out Rate Methodology</t>
  </si>
  <si>
    <t>TSA Charge-out Rates Determination</t>
  </si>
  <si>
    <t>TSA Governance structure</t>
  </si>
  <si>
    <t>TSA Legal framework</t>
  </si>
  <si>
    <t>GSA Catalogue of services</t>
  </si>
  <si>
    <t>GSA Charge-out Rate Methodology</t>
  </si>
  <si>
    <t>GSA Charge-out Rates Determination</t>
  </si>
  <si>
    <t>GSA Governance structure</t>
  </si>
  <si>
    <t>GSA Legal framework</t>
  </si>
  <si>
    <t>Aramco Feedback on GSA &amp; Update</t>
  </si>
  <si>
    <t>Aramco Feedback on TSA &amp; Update</t>
  </si>
  <si>
    <t xml:space="preserve">Shareholders DoAs reference </t>
  </si>
  <si>
    <t>Aramco Feedback on DoA &amp; Update</t>
  </si>
  <si>
    <t>Secondment Agreement Allocation Methodology</t>
  </si>
  <si>
    <t>JV Secondment Agreement draft</t>
  </si>
  <si>
    <t>Aramco Feedback on Secondment Agreement &amp; Update</t>
  </si>
  <si>
    <t>365-Day Implementation Plan Draft</t>
  </si>
  <si>
    <t>365-Day Implementation Plan (Final)</t>
  </si>
  <si>
    <t>5-year Implementation Plan Draft</t>
  </si>
  <si>
    <t>5-year Implementation Plan (Final)</t>
  </si>
  <si>
    <t>Board appointment Shareholders resolutions</t>
  </si>
  <si>
    <t>AoA drafting</t>
  </si>
  <si>
    <t>AoA approval</t>
  </si>
  <si>
    <t>Maaden Board Members Registration with MOC</t>
  </si>
  <si>
    <t>Aramco Board Members Registration with MOC</t>
  </si>
  <si>
    <t>Financial reporting templates</t>
  </si>
  <si>
    <t>Auditing principles</t>
  </si>
  <si>
    <t>IT Systems requirements</t>
  </si>
  <si>
    <t>IT Work scope</t>
  </si>
  <si>
    <t xml:space="preserve">Shareholders' IT Alignment </t>
  </si>
  <si>
    <t>IT systems Implementation</t>
  </si>
  <si>
    <t>IT Access Rights Assigned to JV Users</t>
  </si>
  <si>
    <t>JV New IT Systems Subscriptions &amp; Licences</t>
  </si>
  <si>
    <t>IT Systems training</t>
  </si>
  <si>
    <t>JV Email &amp; Account Setup</t>
  </si>
  <si>
    <t xml:space="preserve">Laptops/computers </t>
  </si>
  <si>
    <t>HSSE Policy &amp; Process Framework</t>
  </si>
  <si>
    <t>JV Office Setup</t>
  </si>
  <si>
    <t>HSSE Policy &amp; Process Setup</t>
  </si>
  <si>
    <t>SHA Sch.2 Area of Interest and Transition Zone</t>
  </si>
  <si>
    <t>Aramco Feedback on SHA pack &amp; Update</t>
  </si>
  <si>
    <t xml:space="preserve">JV Financial KPIs </t>
  </si>
  <si>
    <t>Financial Policy Manual</t>
  </si>
  <si>
    <t>Abdulrahman Abdullah Al-zahrani</t>
  </si>
  <si>
    <t>Raud Alsuwailem</t>
  </si>
  <si>
    <t>Secondees performance KPIs definition</t>
  </si>
  <si>
    <t>Network infrastructure setup</t>
  </si>
  <si>
    <t>Determine secondees positions</t>
  </si>
  <si>
    <t>Omar Jabart</t>
  </si>
  <si>
    <t>Aseel Alnafea</t>
  </si>
  <si>
    <r>
      <t xml:space="preserve">Define initial remuneration for Board Memebrs </t>
    </r>
    <r>
      <rPr>
        <i/>
        <sz val="11"/>
        <color theme="1"/>
        <rFont val="Calibri"/>
        <family val="2"/>
        <scheme val="minor"/>
      </rPr>
      <t>(action also required for Aramco)</t>
    </r>
  </si>
  <si>
    <r>
      <t xml:space="preserve">Gather - from each board member and GM - a copy of passport/ID and contact information for MoC </t>
    </r>
    <r>
      <rPr>
        <i/>
        <sz val="11"/>
        <color theme="1"/>
        <rFont val="Calibri"/>
        <family val="2"/>
        <scheme val="minor"/>
      </rPr>
      <t>(action also required for Aramco)</t>
    </r>
  </si>
  <si>
    <r>
      <t xml:space="preserve">Board members and GM to approve their appointment - completed via Absher digital system </t>
    </r>
    <r>
      <rPr>
        <i/>
        <sz val="11"/>
        <color theme="1"/>
        <rFont val="Calibri"/>
        <family val="2"/>
        <scheme val="minor"/>
      </rPr>
      <t>(action also required for Aramco)</t>
    </r>
  </si>
  <si>
    <r>
      <t xml:space="preserve">Each Shareholder formally approves the appointment of their nominated Directors </t>
    </r>
    <r>
      <rPr>
        <i/>
        <sz val="11"/>
        <color theme="1"/>
        <rFont val="Calibri"/>
        <family val="2"/>
        <scheme val="minor"/>
      </rPr>
      <t>(action also required for Aramco)</t>
    </r>
  </si>
  <si>
    <r>
      <t xml:space="preserve">Shareholders undertake all resolutions (by unanimous written circular resolution or General Assembly) required to give effect to SHA terms </t>
    </r>
    <r>
      <rPr>
        <i/>
        <sz val="11"/>
        <color theme="1"/>
        <rFont val="Calibri"/>
        <family val="2"/>
        <scheme val="minor"/>
      </rPr>
      <t>(action also required for Aramco)</t>
    </r>
  </si>
  <si>
    <r>
      <t xml:space="preserve">Sign AoA before MOC/SBC official (via SBC portal) </t>
    </r>
    <r>
      <rPr>
        <i/>
        <sz val="11"/>
        <color theme="1"/>
        <rFont val="Calibri"/>
        <family val="2"/>
        <scheme val="minor"/>
      </rPr>
      <t>(with participation of Aramco)</t>
    </r>
  </si>
  <si>
    <r>
      <t xml:space="preserve">Issue legalized power of attorney authorizing Kingdom representatives before MOC and SBC </t>
    </r>
    <r>
      <rPr>
        <i/>
        <sz val="11"/>
        <color theme="1"/>
        <rFont val="Calibri"/>
        <family val="2"/>
        <scheme val="minor"/>
      </rPr>
      <t>(action also required for Aramco)</t>
    </r>
  </si>
  <si>
    <t>REQUIREMENTS BY CATEGORY</t>
  </si>
  <si>
    <t>Mohammed Al-Hamed</t>
  </si>
  <si>
    <t>Governance dept</t>
  </si>
  <si>
    <t>Muddassar Khan</t>
  </si>
  <si>
    <t>Design the multi-tiered financial approval matrix (incl governance and internal controls) : define approval tiers below Board thresholds across CAPEX, OPEX, contracts, procurement, HR, litigation, treasury, and asset management, aligned with SHA</t>
  </si>
  <si>
    <t>Obtain nomination from JV GM and mobilize secondees</t>
  </si>
  <si>
    <t xml:space="preserve">Identify all systems needed for JV </t>
  </si>
  <si>
    <t>HR Policies &amp; Processes Framework and Setup</t>
  </si>
  <si>
    <t>Notes</t>
  </si>
  <si>
    <t>STILL OPEN. Schedule 13 is completely empty. Each party needs to disclose their existing competing businesses. This is referenced in Clause 20.1(a)(i).STILL OPEN. Schedule 14 is completely empty. The funding notice templates need to be developed.
Plus, the distinction between 'Form of Funding Notices' and 'Funding Request Notice template' is unclear in the SHA.</t>
  </si>
  <si>
    <t>Standard master framework</t>
  </si>
  <si>
    <t>with support of Rene Thumbran</t>
  </si>
  <si>
    <t>STILL OPEN. Schedule 13 is completely empty. Each party needs to disclose their existing competing businesses. This is referenced in Clause 20.1(a)(i).</t>
  </si>
  <si>
    <t>Map in Part 1 is included, but all coordinate fields and the Transition Zone map remain as placeholders. Footnote 5 explicitly asks MDN to confirm.</t>
  </si>
  <si>
    <t>Is this a separate agreement, or should it be a SHA section/schedule?
Is this the same as Exploration Services Agreement?</t>
  </si>
  <si>
    <t>Confirm with Aramco/Legal if this is Maaden's Technical Service Agreements or something else.
Note: CVA validated full catalogue of technical services with Mohammed/Owen, next step: determine prices/SLAs with Abulrahman and Hassen</t>
  </si>
  <si>
    <t>Incorporation resolution, Properly executed according to each Shareholder's internal corporate governance requirements, Likely notarized and legalized/apostilled for use in MOC</t>
  </si>
  <si>
    <t>Need to confirme timeline and what is prerequisite for signing and what can be handled as CP.
This is the final deliverable. Potential key blockers: multiple empty schedules, numerous 'Note to Draft' items, outstanding commercial terms</t>
  </si>
  <si>
    <t>Based on the SHA document, for MOC/SBC approval of AoA</t>
  </si>
  <si>
    <t>Source: Steps Plan - company incorporation</t>
  </si>
  <si>
    <t>For KSA nationals/residents, approval can be made:
•electronically through a onetime password sent to the phone number registered with the KSA authorities, which can be shared with CC at the relevant time; or
•in writing by signing a consent letter and authenticating the signature before: (i) the Chamber of Commerce; (ii) MOC; or (iii) a KSA licensed bank.
•
For non-KSA nationals/residents, approval can be made in writing by signing a consent letter and authenticating the signature by apostille or notarization and legalization up to the level of the KSA embassy and the Ministry of Foreign Affairs.</t>
  </si>
  <si>
    <t>Critical path , prior  to AoA notarization and CR issuing. waiting period up to 90 days, it will require a significant pack of documents: signed SHA, transaction description, copies of CR, AoA of the mother companies, org chart of the mother companies,audited finance reports…</t>
  </si>
  <si>
    <t>Schedule 12, Part 2, paragraph 3.1 requires that at least three (3) Business Days prior to the Commencement Date, each Shareholder must deliver to the other a written Shareholders' resolution approving the appointment of their respective Directors in accordance with Clause 6.</t>
  </si>
  <si>
    <t xml:space="preserve"> 2-3 weeks for MOC review. At the Commencement date SHaholders exchange signed SHA and transactional documents (Secondment Agreement, GSAs, TSAs, ESA) On the Commencement Date, the AoA are signed before MOC/SBC, shares are issued, and the entity comes into existence. The directors named in those pre-completion resolutions are effectively the initial directors.
</t>
  </si>
  <si>
    <t>At the Commencement date SHaholders exchange signed SHA and transactional documents (Secondment Agreement, GSAs, TSAs, ESA)On the Commencement Date, the AoA are signed before MOC/SBC, shares are issued, and the entity comes into existence. The directors named in those pre-completion resolutions are effectively the initial directors.</t>
  </si>
  <si>
    <t xml:space="preserve"> or Aramco Governance depending on AoA submission</t>
  </si>
  <si>
    <t>Required for invoicing</t>
  </si>
  <si>
    <t>Required before hiring</t>
  </si>
  <si>
    <t>Labor law compliance</t>
  </si>
  <si>
    <t>Per SHA Clause 3.1(b)</t>
  </si>
  <si>
    <t>First Board Meeting — Must Resolve:
Appoint Management TeamCEO, CFO, GM of Exploration, Financial Controller Open bank account With KSA-licensed bank Ratify Initial Budget and Business Plan Adopt Related Agreements GSAs, TSA, Secondment, Exploration Services Adopt Company policies HR, finance, procurement, etc.Adopt Initial Authority MatrixDelegation of authority framework</t>
  </si>
  <si>
    <t xml:space="preserve">Leverage Maaden   accounting policy manual, maaden exploration procedure manual to be adopted by JV, </t>
  </si>
  <si>
    <t>Requires Commercial Registration (CR), Article of Association (AoA), Board Resolution, Board Bank Delegation of Authority, Bank KYC process → 2-4 weeks typically</t>
  </si>
  <si>
    <t xml:space="preserve">Need GM appointed, </t>
  </si>
  <si>
    <t xml:space="preserve">not later than 15 business days after the Commencement Date </t>
  </si>
  <si>
    <t xml:space="preserve">Need to confirm if there will be new email domains </t>
  </si>
  <si>
    <t>2026 technical work program is a prerequisite</t>
  </si>
  <si>
    <t>A plan on activities- i.e what services/materials etc is required from the operational team - this is a pre-requisite (2026 technical work program )</t>
  </si>
  <si>
    <t>This will depend on the 2026 technical work program and the estinated procurement budget</t>
  </si>
  <si>
    <t>This is subject to the operating model and the actions following from this - will this be an addendum to  a procedure/policy/document in the JV or will this be an addendum to the Maaden policy /procedure. These decision need to be made by the JV management before this is an action on procurement.</t>
  </si>
  <si>
    <t>Per org design</t>
  </si>
  <si>
    <t>Both approve</t>
  </si>
  <si>
    <t>MIMR, etc.</t>
  </si>
  <si>
    <t>confirm if required  - only 7 people fully dedicated to JV</t>
  </si>
  <si>
    <t>For and Aramco, since it is a listed joint stock company, the following information would be required for the natural person having the authority to represent in general assemblies of companies owned by Maaden:
• Full name.
• ID number.
• Date and place of birth.
• Nationality.
• National address.
• Phone number.
• Email address (if any).
Ultamate Benifiacry is on Tadawul for Maaden and Aramco</t>
  </si>
  <si>
    <t>with support of Aseel Alnafea /AshLaw
(paragraph 2.1.2(d) of Part 2, Schedule 12) Arabic, per MOC template;
Led by Mawiyah Alqaed/Aramco Governance with support of Aseel Alnafea / Aramco Legal</t>
  </si>
  <si>
    <t>with support of Maaden GR (Abdulrahman Abdullah Al-zahrani)
Payment of the relevant application fees must be made through SADAD within a period to be specified in an invoice to be issued by MOC; otherwise, the application will be cancelled automatically. MOC typically publishes the articles of association within 24 hours after the payment has been made.</t>
  </si>
  <si>
    <t>with support of Board Secretary
First Board Meeting — Must Resolve:
Appoint Management TeamCEO, CFO, GM of Exploration, Financial Controller Open bank account With KSA-licensed bank Ratify Initial Budget and Business Plan Adopt Related Agreements GSAs, TSA, Secondment, Exploration Services Adopt Company policies HR, finance, procurement, etc.Adopt Initial Authority MatrixDelegation of authority framework</t>
  </si>
  <si>
    <t xml:space="preserve">AshLaw  24 hours (in MPP ithe timeline is 5-10 business days) A commercial name reservation remains valid for only 60 days but may be renewed prior to expiry. 
</t>
  </si>
  <si>
    <t>Column Labels</t>
  </si>
  <si>
    <t>Grand Total</t>
  </si>
  <si>
    <t>Count of Action</t>
  </si>
  <si>
    <t xml:space="preserve"> authorize representatives before MOC and SBC (Maaden issued, Aramco pending), PoA was issued for AshLaw, a question to Aramco about their PoA</t>
  </si>
  <si>
    <t>The full list of inputs and assumptions has been identified (Maaden view) and sources and providers have been defined. Next step is to build the model.</t>
  </si>
  <si>
    <t>Model development is currently being executed. First draft to be delivered by Maaden by 12 March 2026.</t>
  </si>
  <si>
    <t>Working program has been prepared and approved by Maaden leadership. Granular view available for 2026 and forecast covering 2027–2030. Available to be shared upon request.</t>
  </si>
  <si>
    <t>Day-1 organization structure has been finalized and is ready to be shared.</t>
  </si>
  <si>
    <t xml:space="preserve"> Initial approach has been defined. To be reviewed and agreed with workstream leaders during the week of 8–15 March 2026.</t>
  </si>
  <si>
    <t>To be initiated following review and agreement of the pricing methodology with workstream leaders. Target completion by 15 March 2026.</t>
  </si>
  <si>
    <t>Aramco TSA has been reviewed and comments shared with legal. On Maaden TSA, concept is being developed; first internal discussions with Maaden project leadership scheduled for early next week.</t>
  </si>
  <si>
    <t xml:space="preserve"> Catalogue has been developed and partially validated by workstream leaders. Target to finalise validation by 10 March 2026.</t>
  </si>
  <si>
    <t xml:space="preserve"> Initial approach has been defined. To be reviewed and agreed with workstream leader during the week of 8–15 March 2026.</t>
  </si>
  <si>
    <t>On Maaden GSA, concept is being developed; first internal discussions with Maaden project leadership scheduled for early next week.</t>
  </si>
  <si>
    <t>To be completed once the board member nomination list is finalised.</t>
  </si>
  <si>
    <t>Row Labels</t>
  </si>
  <si>
    <t>Hassen to share with Legal</t>
  </si>
  <si>
    <t>Align on BP template</t>
  </si>
  <si>
    <t>Maaden and Aramco to align on format/templates of final BP deliverables</t>
  </si>
  <si>
    <t>Develop final BP deliverables as per template defined</t>
  </si>
  <si>
    <t>ERP, Procurement (subsystems) - email sent to Adel as per Ramesh direction</t>
  </si>
  <si>
    <t>Mar 9th: Draft prepared; under review by Effat</t>
  </si>
  <si>
    <t>SHA Sch.11 Guarantee for Permitted Transfers</t>
  </si>
  <si>
    <t>Agree Form of Guarantee for Permitted Transfers (Schedule 11)</t>
  </si>
  <si>
    <t xml:space="preserve">SHA Sch.12 Form of the Agreement </t>
  </si>
  <si>
    <t>Finalize Form of Shareholder Services Agreement (Schedule 12)</t>
  </si>
  <si>
    <t>SHA Sch.14 Competing business disclosure</t>
  </si>
  <si>
    <r>
      <t xml:space="preserve">Complete existing competing businesses disclosure (Schedule 14) </t>
    </r>
    <r>
      <rPr>
        <i/>
        <strike/>
        <sz val="11"/>
        <color theme="1"/>
        <rFont val="Calibri"/>
        <family val="2"/>
        <scheme val="minor"/>
      </rPr>
      <t>(action also required for aramco)</t>
    </r>
  </si>
  <si>
    <t>SHA Sch.15 Funding Notices</t>
  </si>
  <si>
    <t xml:space="preserve">STILL OPEN. What exactly is this form? We understand GSA is a separament document, correct? </t>
  </si>
  <si>
    <r>
      <t xml:space="preserve">Develop Form of Funding Notices, and standard Funding Request Notice template (Schedule 15) and </t>
    </r>
    <r>
      <rPr>
        <b/>
        <sz val="11"/>
        <color theme="1"/>
        <rFont val="Calibri"/>
        <family val="2"/>
        <scheme val="minor"/>
      </rPr>
      <t>share with Legal for incorporation into SHA</t>
    </r>
  </si>
  <si>
    <r>
      <t xml:space="preserve">Provide all Area of Interest and Transition Zone maps and coordinates (Schedule 2) </t>
    </r>
    <r>
      <rPr>
        <b/>
        <sz val="11"/>
        <rFont val="Calibri"/>
        <family val="2"/>
        <scheme val="minor"/>
      </rPr>
      <t>and share with Legal for incorporation into SHA</t>
    </r>
  </si>
  <si>
    <t xml:space="preserve">Draft reviewed by Mohammed and Muddassar on Mar 9th </t>
  </si>
  <si>
    <t>Review and share the finalized Plan with Aramco for review. Collect feedback, incorporate agreed changes, and lock the final version for approval</t>
  </si>
  <si>
    <t>Muddassar/ Mohammed</t>
  </si>
  <si>
    <t>². Incorporate feedback and resolve any open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</si>
</sst>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8"/>
      <name val="Calibri"/>
      <family val="2"/>
      <scheme val="minor"/>
    </font>
    <font>
      <sz val="11"/>
      <color theme="1"/>
      <name val="DIN Next LT Arabic"/>
      <family val="2"/>
    </font>
    <font>
      <b/>
      <sz val="14"/>
      <name val="DIN Next LT Arabic"/>
      <family val="2"/>
    </font>
    <font>
      <b/>
      <sz val="11"/>
      <color theme="0"/>
      <name val="DIN Next LT Arabic"/>
      <family val="2"/>
    </font>
    <font>
      <sz val="11"/>
      <color theme="1"/>
      <name val="Calibri"/>
      <family val="2"/>
      <scheme val="minor"/>
    </font>
    <font>
      <sz val="18"/>
      <color theme="1"/>
      <name val="Calibri"/>
      <family val="2"/>
      <scheme val="minor"/>
    </font>
    <font>
      <sz val="18"/>
      <color theme="1"/>
      <name val="DIN Next LT Arabic"/>
      <family val="2"/>
    </font>
    <font>
      <b/>
      <sz val="18"/>
      <color theme="1"/>
      <name val="DIN Next LT Arabic"/>
      <family val="2"/>
    </font>
    <font>
      <sz val="11"/>
      <name val="Calibri"/>
      <family val="2"/>
      <scheme val="minor"/>
    </font>
    <font>
      <b/>
      <sz val="11"/>
      <color theme="1"/>
      <name val="Calibri"/>
      <family val="2"/>
      <scheme val="minor"/>
    </font>
    <font>
      <b/>
      <sz val="11"/>
      <color theme="0"/>
      <name val="Calibri"/>
      <family val="2"/>
      <scheme val="minor"/>
    </font>
    <font>
      <b/>
      <sz val="11"/>
      <color rgb="FFFFFFFF"/>
      <name val="Calibri"/>
      <family val="2"/>
      <scheme val="minor"/>
    </font>
    <font>
      <b/>
      <sz val="11"/>
      <color theme="1"/>
      <name val="DIN Next LT Arabic"/>
      <family val="2"/>
    </font>
    <font>
      <sz val="11"/>
      <color theme="6" tint="-0.499984740745262"/>
      <name val="DIN Next LT Arabic"/>
      <family val="2"/>
    </font>
    <font>
      <sz val="11"/>
      <color theme="3"/>
      <name val="DIN Next LT Arabic"/>
      <family val="2"/>
    </font>
    <font>
      <sz val="11"/>
      <color theme="5" tint="-0.499984740745262"/>
      <name val="DIN Next LT Arabic"/>
      <family val="2"/>
    </font>
    <font>
      <sz val="11"/>
      <color theme="0"/>
      <name val="DIN Next LT Arabic"/>
      <family val="2"/>
    </font>
    <font>
      <sz val="11"/>
      <color theme="1"/>
      <name val="DIN Next LT Arabic"/>
      <family val="2"/>
    </font>
    <font>
      <b/>
      <sz val="11"/>
      <color theme="1"/>
      <name val="DIN Next LT Arabic"/>
      <family val="2"/>
    </font>
    <font>
      <i/>
      <sz val="11"/>
      <color theme="1"/>
      <name val="Calibri"/>
      <family val="2"/>
      <scheme val="minor"/>
    </font>
    <font>
      <i/>
      <sz val="12"/>
      <color theme="1"/>
      <name val="DIN Next LT Arabic"/>
      <family val="2"/>
    </font>
    <font>
      <i/>
      <sz val="12"/>
      <color theme="5"/>
      <name val="DIN Next LT Arabic"/>
      <family val="2"/>
    </font>
    <font>
      <strike/>
      <sz val="11"/>
      <color theme="1"/>
      <name val="Calibri"/>
      <family val="2"/>
      <scheme val="minor"/>
    </font>
    <font>
      <i/>
      <strike/>
      <sz val="11"/>
      <color theme="1"/>
      <name val="Calibri"/>
      <family val="2"/>
      <scheme val="minor"/>
    </font>
    <font>
      <b/>
      <sz val="11"/>
      <name val="Calibri"/>
      <family val="2"/>
      <scheme val="minor"/>
    </font>
  </fonts>
  <fills count="13">
    <fill>
      <patternFill patternType="none"/>
    </fill>
    <fill>
      <patternFill patternType="gray125"/>
    </fill>
    <fill>
      <patternFill patternType="solid">
        <fgColor theme="8"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1" tint="0.34998626667073579"/>
        <bgColor rgb="FF1F4E79"/>
      </patternFill>
    </fill>
    <fill>
      <patternFill patternType="solid">
        <fgColor theme="6"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2" tint="-0.749992370372631"/>
        <bgColor indexed="64"/>
      </patternFill>
    </fill>
    <fill>
      <patternFill patternType="solid">
        <fgColor theme="2"/>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indexed="64"/>
      </top>
      <bottom/>
      <diagonal/>
    </border>
    <border>
      <left style="thin">
        <color auto="1"/>
      </left>
      <right style="thin">
        <color auto="1"/>
      </right>
      <top/>
      <bottom/>
      <diagonal/>
    </border>
    <border>
      <left/>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9" fontId="5" fillId="0" borderId="0" applyFont="0" applyFill="0" applyBorder="0" applyAlignment="0" applyProtection="0"/>
  </cellStyleXfs>
  <cellXfs count="104">
    <xf numFmtId="0" fontId="0" fillId="0" borderId="0" xfId="0"/>
    <xf numFmtId="0" fontId="2" fillId="0" borderId="0" xfId="0" applyFont="1"/>
    <xf numFmtId="0" fontId="0" fillId="2" borderId="0" xfId="0" applyFill="1"/>
    <xf numFmtId="0" fontId="2" fillId="0" borderId="0" xfId="0" applyFont="1" applyAlignment="1">
      <alignment horizontal="center"/>
    </xf>
    <xf numFmtId="0" fontId="0" fillId="0" borderId="0" xfId="0" applyAlignment="1">
      <alignment horizontal="center"/>
    </xf>
    <xf numFmtId="0" fontId="3" fillId="0" borderId="0" xfId="0" applyFont="1" applyAlignment="1">
      <alignment horizontal="left"/>
    </xf>
    <xf numFmtId="0" fontId="6" fillId="0" borderId="0" xfId="0" applyFont="1"/>
    <xf numFmtId="0" fontId="7" fillId="0" borderId="0" xfId="0" applyFont="1"/>
    <xf numFmtId="0" fontId="8" fillId="0" borderId="0" xfId="0" applyFont="1"/>
    <xf numFmtId="0" fontId="8" fillId="0" borderId="0" xfId="0" applyFont="1" applyAlignment="1">
      <alignment vertical="top"/>
    </xf>
    <xf numFmtId="17" fontId="7" fillId="0" borderId="0" xfId="0" applyNumberFormat="1" applyFont="1" applyAlignment="1">
      <alignment horizontal="left"/>
    </xf>
    <xf numFmtId="9" fontId="0" fillId="0" borderId="0" xfId="0" applyNumberFormat="1"/>
    <xf numFmtId="0" fontId="9" fillId="0" borderId="1" xfId="0" applyFont="1" applyBorder="1" applyAlignment="1">
      <alignment vertical="center" wrapText="1"/>
    </xf>
    <xf numFmtId="0" fontId="0" fillId="0" borderId="1" xfId="0" applyBorder="1" applyAlignment="1">
      <alignment vertical="center" wrapText="1"/>
    </xf>
    <xf numFmtId="0" fontId="0" fillId="0" borderId="3" xfId="0" applyBorder="1" applyAlignment="1">
      <alignment vertical="center" wrapText="1"/>
    </xf>
    <xf numFmtId="0" fontId="9" fillId="0" borderId="3" xfId="0" applyFont="1" applyBorder="1" applyAlignment="1">
      <alignment vertical="center" wrapText="1"/>
    </xf>
    <xf numFmtId="1" fontId="0" fillId="0" borderId="0" xfId="0" applyNumberFormat="1" applyAlignment="1">
      <alignment horizontal="center"/>
    </xf>
    <xf numFmtId="0" fontId="0" fillId="4" borderId="1" xfId="0" applyFill="1" applyBorder="1" applyAlignment="1">
      <alignment vertical="center" wrapText="1"/>
    </xf>
    <xf numFmtId="0" fontId="0" fillId="4" borderId="3" xfId="0" applyFill="1" applyBorder="1" applyAlignment="1">
      <alignment vertical="center" wrapText="1"/>
    </xf>
    <xf numFmtId="0" fontId="0" fillId="0" borderId="2" xfId="0" applyBorder="1" applyAlignment="1">
      <alignment vertical="center" wrapText="1"/>
    </xf>
    <xf numFmtId="0" fontId="0" fillId="0" borderId="1" xfId="0" applyBorder="1" applyAlignment="1">
      <alignment vertical="center"/>
    </xf>
    <xf numFmtId="0" fontId="0" fillId="0" borderId="4" xfId="0" applyBorder="1" applyAlignment="1">
      <alignment vertical="center" wrapText="1"/>
    </xf>
    <xf numFmtId="0" fontId="0" fillId="4" borderId="2" xfId="0" applyFill="1" applyBorder="1" applyAlignment="1">
      <alignment vertical="center" wrapText="1"/>
    </xf>
    <xf numFmtId="0" fontId="12" fillId="6" borderId="3"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6" borderId="4" xfId="0" applyFont="1" applyFill="1" applyBorder="1" applyAlignment="1">
      <alignment horizontal="center" vertical="center" wrapText="1"/>
    </xf>
    <xf numFmtId="16" fontId="0" fillId="0" borderId="2" xfId="0" applyNumberFormat="1" applyBorder="1" applyAlignment="1">
      <alignment horizontal="center" vertical="center"/>
    </xf>
    <xf numFmtId="1" fontId="0" fillId="0" borderId="2" xfId="0" applyNumberFormat="1" applyBorder="1" applyAlignment="1">
      <alignment horizontal="center" vertical="center"/>
    </xf>
    <xf numFmtId="16" fontId="0" fillId="5" borderId="2" xfId="0" applyNumberFormat="1" applyFill="1" applyBorder="1" applyAlignment="1">
      <alignment horizontal="center" vertical="center"/>
    </xf>
    <xf numFmtId="16" fontId="0" fillId="5" borderId="1" xfId="0" applyNumberFormat="1" applyFill="1" applyBorder="1" applyAlignment="1">
      <alignment horizontal="center" vertical="center"/>
    </xf>
    <xf numFmtId="1" fontId="0" fillId="0" borderId="1" xfId="0" applyNumberFormat="1" applyBorder="1" applyAlignment="1">
      <alignment horizontal="center" vertical="center"/>
    </xf>
    <xf numFmtId="16" fontId="0" fillId="5" borderId="3" xfId="0" applyNumberFormat="1" applyFill="1" applyBorder="1" applyAlignment="1">
      <alignment horizontal="center" vertical="center"/>
    </xf>
    <xf numFmtId="1" fontId="0" fillId="0" borderId="3" xfId="0" applyNumberFormat="1" applyBorder="1" applyAlignment="1">
      <alignment horizontal="center" vertical="center"/>
    </xf>
    <xf numFmtId="16" fontId="0" fillId="4" borderId="2" xfId="0" applyNumberFormat="1" applyFill="1" applyBorder="1" applyAlignment="1">
      <alignment horizontal="center" vertical="center"/>
    </xf>
    <xf numFmtId="16" fontId="0" fillId="4" borderId="1" xfId="0" applyNumberFormat="1" applyFill="1" applyBorder="1" applyAlignment="1">
      <alignment horizontal="center" vertical="center"/>
    </xf>
    <xf numFmtId="1" fontId="0" fillId="4" borderId="1" xfId="0" applyNumberFormat="1" applyFill="1" applyBorder="1" applyAlignment="1">
      <alignment horizontal="center" vertical="center"/>
    </xf>
    <xf numFmtId="1" fontId="0" fillId="4" borderId="2" xfId="0" applyNumberFormat="1" applyFill="1" applyBorder="1" applyAlignment="1">
      <alignment horizontal="center" vertical="center"/>
    </xf>
    <xf numFmtId="1" fontId="0" fillId="4" borderId="3" xfId="0" applyNumberFormat="1" applyFill="1" applyBorder="1" applyAlignment="1">
      <alignment horizontal="center" vertical="center"/>
    </xf>
    <xf numFmtId="16" fontId="0" fillId="0" borderId="4" xfId="0" applyNumberFormat="1" applyBorder="1" applyAlignment="1">
      <alignment horizontal="center" vertical="center"/>
    </xf>
    <xf numFmtId="16" fontId="0" fillId="0" borderId="3" xfId="0" applyNumberFormat="1" applyBorder="1" applyAlignment="1">
      <alignment horizontal="center" vertical="center"/>
    </xf>
    <xf numFmtId="16" fontId="0" fillId="0" borderId="1" xfId="0" applyNumberFormat="1" applyBorder="1" applyAlignment="1">
      <alignment horizontal="center" vertical="center"/>
    </xf>
    <xf numFmtId="0" fontId="0" fillId="4" borderId="1" xfId="0" applyFill="1" applyBorder="1" applyAlignment="1">
      <alignment vertical="top" wrapText="1"/>
    </xf>
    <xf numFmtId="0" fontId="0" fillId="0" borderId="1" xfId="0" applyBorder="1" applyAlignment="1">
      <alignment horizontal="left" vertical="center" wrapText="1"/>
    </xf>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4" borderId="2" xfId="0" applyFill="1" applyBorder="1" applyAlignment="1">
      <alignment horizontal="center" vertical="center" wrapText="1"/>
    </xf>
    <xf numFmtId="0" fontId="0" fillId="4" borderId="1" xfId="0" applyFill="1" applyBorder="1" applyAlignment="1">
      <alignment horizontal="center" vertical="center" wrapText="1"/>
    </xf>
    <xf numFmtId="0" fontId="9" fillId="0" borderId="1" xfId="0" applyFont="1"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left" vertical="center"/>
    </xf>
    <xf numFmtId="0" fontId="10" fillId="3" borderId="5" xfId="0" applyFont="1" applyFill="1" applyBorder="1" applyAlignment="1">
      <alignment vertical="center"/>
    </xf>
    <xf numFmtId="0" fontId="10" fillId="3" borderId="5" xfId="0" applyFont="1" applyFill="1" applyBorder="1" applyAlignment="1">
      <alignment vertical="center" wrapText="1"/>
    </xf>
    <xf numFmtId="0" fontId="10" fillId="3" borderId="5" xfId="0" applyFont="1" applyFill="1" applyBorder="1" applyAlignment="1">
      <alignment horizontal="center" vertical="center" wrapText="1"/>
    </xf>
    <xf numFmtId="16" fontId="10" fillId="3" borderId="5" xfId="0" applyNumberFormat="1" applyFont="1" applyFill="1" applyBorder="1" applyAlignment="1">
      <alignment horizontal="center" vertical="center"/>
    </xf>
    <xf numFmtId="1" fontId="10" fillId="3" borderId="5" xfId="0" applyNumberFormat="1" applyFont="1" applyFill="1" applyBorder="1" applyAlignment="1">
      <alignment horizontal="center" vertical="center"/>
    </xf>
    <xf numFmtId="9" fontId="10" fillId="3" borderId="5" xfId="1" applyFont="1" applyFill="1" applyBorder="1" applyAlignment="1">
      <alignment horizontal="center" vertical="center"/>
    </xf>
    <xf numFmtId="0" fontId="10" fillId="3" borderId="0" xfId="0" applyFont="1" applyFill="1" applyAlignment="1">
      <alignment vertical="center"/>
    </xf>
    <xf numFmtId="0" fontId="10" fillId="3" borderId="0" xfId="0" applyFont="1" applyFill="1" applyAlignment="1">
      <alignment vertical="center" wrapText="1"/>
    </xf>
    <xf numFmtId="0" fontId="10" fillId="3" borderId="0" xfId="0" applyFont="1" applyFill="1" applyAlignment="1">
      <alignment horizontal="center" vertical="center" wrapText="1"/>
    </xf>
    <xf numFmtId="16" fontId="10" fillId="3" borderId="0" xfId="0" applyNumberFormat="1" applyFont="1" applyFill="1" applyAlignment="1">
      <alignment horizontal="center" vertical="center"/>
    </xf>
    <xf numFmtId="1" fontId="10" fillId="3" borderId="0" xfId="0" applyNumberFormat="1" applyFont="1" applyFill="1" applyAlignment="1">
      <alignment horizontal="center" vertical="center"/>
    </xf>
    <xf numFmtId="9" fontId="10" fillId="3" borderId="0" xfId="1" applyFont="1" applyFill="1" applyBorder="1" applyAlignment="1">
      <alignment horizontal="center" vertical="center"/>
    </xf>
    <xf numFmtId="9" fontId="10" fillId="3" borderId="2" xfId="1" applyFont="1" applyFill="1" applyBorder="1" applyAlignment="1">
      <alignment horizontal="center" vertical="center"/>
    </xf>
    <xf numFmtId="9" fontId="10" fillId="3" borderId="1" xfId="1" applyFont="1" applyFill="1" applyBorder="1" applyAlignment="1">
      <alignment horizontal="center" vertical="center"/>
    </xf>
    <xf numFmtId="9" fontId="10" fillId="3" borderId="3" xfId="1" applyFont="1" applyFill="1" applyBorder="1" applyAlignment="1">
      <alignment horizontal="center" vertical="center"/>
    </xf>
    <xf numFmtId="0" fontId="2" fillId="5" borderId="6" xfId="0" applyFont="1" applyFill="1" applyBorder="1" applyAlignment="1">
      <alignment horizontal="center"/>
    </xf>
    <xf numFmtId="0" fontId="14" fillId="7" borderId="6" xfId="0" applyFont="1" applyFill="1" applyBorder="1" applyAlignment="1">
      <alignment horizontal="center"/>
    </xf>
    <xf numFmtId="0" fontId="15" fillId="8" borderId="6" xfId="0" applyFont="1" applyFill="1" applyBorder="1" applyAlignment="1">
      <alignment horizontal="center"/>
    </xf>
    <xf numFmtId="0" fontId="16" fillId="10" borderId="6" xfId="0" applyFont="1" applyFill="1" applyBorder="1" applyAlignment="1">
      <alignment horizontal="center"/>
    </xf>
    <xf numFmtId="0" fontId="13" fillId="12" borderId="6" xfId="0" applyFont="1" applyFill="1" applyBorder="1" applyAlignment="1">
      <alignment vertical="center"/>
    </xf>
    <xf numFmtId="0" fontId="4" fillId="11" borderId="7" xfId="0" applyFont="1" applyFill="1" applyBorder="1"/>
    <xf numFmtId="0" fontId="4" fillId="11" borderId="8" xfId="0" applyFont="1" applyFill="1" applyBorder="1" applyAlignment="1">
      <alignment horizontal="center"/>
    </xf>
    <xf numFmtId="0" fontId="13" fillId="9" borderId="6" xfId="0" applyFont="1" applyFill="1" applyBorder="1"/>
    <xf numFmtId="0" fontId="13" fillId="9" borderId="6" xfId="0" applyFont="1" applyFill="1" applyBorder="1" applyAlignment="1">
      <alignment horizontal="center"/>
    </xf>
    <xf numFmtId="0" fontId="17" fillId="11" borderId="8" xfId="0" applyFont="1" applyFill="1" applyBorder="1" applyAlignment="1">
      <alignment horizontal="center"/>
    </xf>
    <xf numFmtId="0" fontId="13" fillId="12" borderId="6" xfId="0" applyFont="1" applyFill="1" applyBorder="1" applyAlignment="1">
      <alignment horizontal="center" vertical="center"/>
    </xf>
    <xf numFmtId="0" fontId="2" fillId="0" borderId="6" xfId="0" applyFont="1" applyBorder="1" applyAlignment="1">
      <alignment horizontal="center" vertical="center"/>
    </xf>
    <xf numFmtId="0" fontId="0" fillId="0" borderId="2" xfId="0" applyBorder="1" applyAlignment="1">
      <alignment vertical="center"/>
    </xf>
    <xf numFmtId="9" fontId="5" fillId="3" borderId="5" xfId="1" applyFont="1" applyFill="1" applyBorder="1" applyAlignment="1">
      <alignment horizontal="center" vertical="center"/>
    </xf>
    <xf numFmtId="9" fontId="5" fillId="3" borderId="0" xfId="1" applyFont="1" applyFill="1" applyBorder="1" applyAlignment="1">
      <alignment horizontal="center" vertical="center"/>
    </xf>
    <xf numFmtId="0" fontId="19" fillId="12" borderId="6" xfId="0" applyFont="1" applyFill="1" applyBorder="1" applyAlignment="1">
      <alignment vertical="center"/>
    </xf>
    <xf numFmtId="0" fontId="18" fillId="0" borderId="6" xfId="0" applyFont="1" applyBorder="1" applyAlignment="1">
      <alignment horizontal="center" vertical="center"/>
    </xf>
    <xf numFmtId="0" fontId="0" fillId="4" borderId="2" xfId="0" applyFill="1" applyBorder="1" applyAlignment="1">
      <alignment vertical="center"/>
    </xf>
    <xf numFmtId="0" fontId="0" fillId="4" borderId="1" xfId="0" applyFill="1" applyBorder="1" applyAlignment="1">
      <alignment vertical="center"/>
    </xf>
    <xf numFmtId="0" fontId="0" fillId="4" borderId="3" xfId="0" applyFill="1" applyBorder="1" applyAlignment="1">
      <alignment vertical="center"/>
    </xf>
    <xf numFmtId="0" fontId="21" fillId="0" borderId="0" xfId="0" applyFont="1" applyAlignment="1">
      <alignment horizontal="right"/>
    </xf>
    <xf numFmtId="16" fontId="22" fillId="0" borderId="0" xfId="0" applyNumberFormat="1" applyFont="1" applyAlignment="1">
      <alignment horizontal="left"/>
    </xf>
    <xf numFmtId="0" fontId="0" fillId="0" borderId="1" xfId="0" applyBorder="1" applyAlignment="1">
      <alignment wrapText="1"/>
    </xf>
    <xf numFmtId="9" fontId="5" fillId="5" borderId="9" xfId="1" applyFont="1" applyFill="1" applyBorder="1" applyAlignment="1">
      <alignment horizontal="center" vertical="center"/>
    </xf>
    <xf numFmtId="9" fontId="5" fillId="5" borderId="10" xfId="1" applyFont="1" applyFill="1" applyBorder="1" applyAlignment="1">
      <alignment horizontal="center" vertical="center"/>
    </xf>
    <xf numFmtId="0" fontId="0" fillId="0" borderId="0" xfId="0" pivotButton="1"/>
    <xf numFmtId="14" fontId="0" fillId="0" borderId="0" xfId="0" applyNumberFormat="1"/>
    <xf numFmtId="0" fontId="0" fillId="0" borderId="0" xfId="0" applyAlignment="1">
      <alignment horizontal="left"/>
    </xf>
    <xf numFmtId="0" fontId="23" fillId="0" borderId="1" xfId="0" applyFont="1" applyBorder="1" applyAlignment="1">
      <alignment vertical="center" wrapText="1"/>
    </xf>
    <xf numFmtId="9" fontId="0" fillId="5" borderId="10" xfId="1" applyFont="1" applyFill="1" applyBorder="1" applyAlignment="1">
      <alignment horizontal="center" vertical="center"/>
    </xf>
    <xf numFmtId="16" fontId="0" fillId="0" borderId="1" xfId="0" applyNumberFormat="1" applyFill="1" applyBorder="1" applyAlignment="1">
      <alignment horizontal="center" vertical="center"/>
    </xf>
    <xf numFmtId="0" fontId="0" fillId="0" borderId="10" xfId="0" applyBorder="1" applyAlignment="1">
      <alignment vertical="center" wrapText="1"/>
    </xf>
    <xf numFmtId="0" fontId="0" fillId="4" borderId="11" xfId="0" applyFill="1" applyBorder="1" applyAlignment="1">
      <alignment horizontal="center" vertical="center" wrapText="1"/>
    </xf>
    <xf numFmtId="0" fontId="16" fillId="10" borderId="0" xfId="0" applyFont="1" applyFill="1" applyAlignment="1">
      <alignment horizontal="center"/>
    </xf>
    <xf numFmtId="0" fontId="17" fillId="11" borderId="0" xfId="0" applyFont="1" applyFill="1" applyAlignment="1">
      <alignment horizontal="center"/>
    </xf>
    <xf numFmtId="0" fontId="0" fillId="0" borderId="0" xfId="0" applyAlignment="1">
      <alignment horizontal="left" indent="1"/>
    </xf>
  </cellXfs>
  <cellStyles count="2">
    <cellStyle name="Normal" xfId="0" builtinId="0"/>
    <cellStyle name="Percent" xfId="1" builtinId="5"/>
  </cellStyles>
  <dxfs count="4">
    <dxf>
      <font>
        <color theme="5" tint="-0.499984740745262"/>
      </font>
      <fill>
        <patternFill>
          <bgColor theme="5" tint="0.79998168889431442"/>
        </patternFill>
      </fill>
    </dxf>
    <dxf>
      <font>
        <color theme="3"/>
      </font>
      <fill>
        <patternFill>
          <bgColor theme="4" tint="0.79998168889431442"/>
        </patternFill>
      </fill>
    </dxf>
    <dxf>
      <font>
        <color theme="6" tint="-0.499984740745262"/>
      </font>
      <fill>
        <patternFill>
          <bgColor theme="6" tint="0.79998168889431442"/>
        </patternFill>
      </fill>
    </dxf>
    <dxf>
      <font>
        <color rgb="FFC00000"/>
      </font>
      <fill>
        <patternFill>
          <bgColor theme="5"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852218</xdr:colOff>
      <xdr:row>3</xdr:row>
      <xdr:rowOff>3318</xdr:rowOff>
    </xdr:from>
    <xdr:ext cx="4162500" cy="794737"/>
    <xdr:pic>
      <xdr:nvPicPr>
        <xdr:cNvPr id="2" name="Picture 1">
          <a:extLst>
            <a:ext uri="{FF2B5EF4-FFF2-40B4-BE49-F238E27FC236}">
              <a16:creationId xmlns:a16="http://schemas.microsoft.com/office/drawing/2014/main" id="{188DC420-F1F2-496D-8724-5781639BD669}"/>
            </a:ext>
          </a:extLst>
        </xdr:cNvPr>
        <xdr:cNvPicPr>
          <a:picLocks noChangeAspect="1"/>
        </xdr:cNvPicPr>
      </xdr:nvPicPr>
      <xdr:blipFill>
        <a:blip xmlns:r="http://schemas.openxmlformats.org/officeDocument/2006/relationships" r:embed="rId1"/>
        <a:stretch>
          <a:fillRect/>
        </a:stretch>
      </xdr:blipFill>
      <xdr:spPr>
        <a:xfrm>
          <a:off x="1295130" y="546243"/>
          <a:ext cx="4162500" cy="794737"/>
        </a:xfrm>
        <a:prstGeom prst="rect">
          <a:avLst/>
        </a:prstGeom>
      </xdr:spPr>
    </xdr:pic>
    <xdr:clientData/>
  </xdr:oneCellAnchor>
  <xdr:twoCellAnchor>
    <xdr:from>
      <xdr:col>0</xdr:col>
      <xdr:colOff>452904</xdr:colOff>
      <xdr:row>1</xdr:row>
      <xdr:rowOff>97273</xdr:rowOff>
    </xdr:from>
    <xdr:to>
      <xdr:col>11</xdr:col>
      <xdr:colOff>182096</xdr:colOff>
      <xdr:row>11</xdr:row>
      <xdr:rowOff>78597</xdr:rowOff>
    </xdr:to>
    <xdr:sp macro="" textlink="">
      <xdr:nvSpPr>
        <xdr:cNvPr id="3" name="Rectangle 2">
          <a:extLst>
            <a:ext uri="{FF2B5EF4-FFF2-40B4-BE49-F238E27FC236}">
              <a16:creationId xmlns:a16="http://schemas.microsoft.com/office/drawing/2014/main" id="{D0CEEC6E-37DA-4B60-BD7A-13E94942799C}"/>
            </a:ext>
          </a:extLst>
        </xdr:cNvPr>
        <xdr:cNvSpPr/>
      </xdr:nvSpPr>
      <xdr:spPr>
        <a:xfrm>
          <a:off x="452904" y="278248"/>
          <a:ext cx="6853892" cy="1791074"/>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7</xdr:col>
      <xdr:colOff>144347</xdr:colOff>
      <xdr:row>2</xdr:row>
      <xdr:rowOff>188411</xdr:rowOff>
    </xdr:from>
    <xdr:ext cx="2262810" cy="1026449"/>
    <xdr:pic>
      <xdr:nvPicPr>
        <xdr:cNvPr id="4" name="Picture 3" descr="CVA - Corporate Value Associates">
          <a:extLst>
            <a:ext uri="{FF2B5EF4-FFF2-40B4-BE49-F238E27FC236}">
              <a16:creationId xmlns:a16="http://schemas.microsoft.com/office/drawing/2014/main" id="{456D10A5-11EE-4B19-B0B1-897693363A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78247" y="540836"/>
          <a:ext cx="2262810" cy="10264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893CDC6-F770-49E2-8532-7686A505E8D8}"/>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wner" refreshedDate="46091.366784953701" createdVersion="8" refreshedVersion="8" minRefreshableVersion="3" recordCount="130" xr:uid="{55C0ACDE-9D7C-439C-A3AE-D67ADEB5FE6F}">
  <cacheSource type="worksheet">
    <worksheetSource ref="A3:L133" sheet="JV Readiness Plan"/>
  </cacheSource>
  <cacheFields count="12">
    <cacheField name="Workstream" numFmtId="0">
      <sharedItems containsBlank="1" count="6">
        <m/>
        <s v="SHA"/>
        <s v="Entity Formation"/>
        <s v="Post-formation registration "/>
        <s v="Corporate Governance Setup"/>
        <s v="Operational readiness"/>
      </sharedItems>
    </cacheField>
    <cacheField name="Category" numFmtId="0">
      <sharedItems count="22">
        <s v="Budget and Business Plan"/>
        <s v="Budget and BP"/>
        <s v="TSA"/>
        <s v="GSA"/>
        <s v="DoA"/>
        <s v="Secondment "/>
        <s v="SHA documentation"/>
        <s v="Corporate approval"/>
        <s v="Entity Formation"/>
        <s v="Governance"/>
        <s v="Legal"/>
        <s v="Post-formation registration "/>
        <s v="GR"/>
        <s v="HR"/>
        <s v="HSSE"/>
        <s v="Corporate Governance Setup"/>
        <s v="Operational readiness"/>
        <s v="Finance"/>
        <s v="IT"/>
        <s v="Procurement"/>
        <s v="Comms"/>
        <s v="Facilities"/>
      </sharedItems>
    </cacheField>
    <cacheField name="Requirement" numFmtId="0">
      <sharedItems containsBlank="1"/>
    </cacheField>
    <cacheField name="Action" numFmtId="0">
      <sharedItems containsBlank="1"/>
    </cacheField>
    <cacheField name="Owner" numFmtId="0">
      <sharedItems containsBlank="1"/>
    </cacheField>
    <cacheField name="Status" numFmtId="0">
      <sharedItems containsBlank="1" count="5">
        <m/>
        <s v="Completed"/>
        <s v="On-track"/>
        <s v="Not Started"/>
        <s v="Delayed"/>
      </sharedItems>
    </cacheField>
    <cacheField name="Start date" numFmtId="16">
      <sharedItems containsSemiMixedTypes="0" containsNonDate="0" containsDate="1" containsString="0" minDate="2026-02-01T00:00:00" maxDate="2026-08-13T00:00:00"/>
    </cacheField>
    <cacheField name="Duration" numFmtId="1">
      <sharedItems containsSemiMixedTypes="0" containsString="0" containsNumber="1" containsInteger="1" minValue="1" maxValue="190"/>
    </cacheField>
    <cacheField name="End date" numFmtId="16">
      <sharedItems containsSemiMixedTypes="0" containsNonDate="0" containsDate="1" containsString="0" minDate="2026-02-09T00:00:00" maxDate="2026-08-27T00:00:00"/>
    </cacheField>
    <cacheField name="Target Completion (%)" numFmtId="9">
      <sharedItems containsString="0" containsBlank="1" containsNumber="1" minValue="0" maxValue="1"/>
    </cacheField>
    <cacheField name="Actual Completion (%)" numFmtId="9">
      <sharedItems containsString="0" containsBlank="1" containsNumber="1" minValue="0" maxValue="1"/>
    </cacheField>
    <cacheField name="Notes"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x v="0"/>
    <x v="0"/>
    <m/>
    <m/>
    <m/>
    <x v="0"/>
    <d v="2026-02-01T00:00:00"/>
    <n v="58"/>
    <d v="2026-03-31T00:00:00"/>
    <m/>
    <m/>
    <m/>
  </r>
  <r>
    <x v="1"/>
    <x v="1"/>
    <s v="Budget &amp; BP Roles &amp; Data Sources"/>
    <s v="Clarify roles and responsibilities across Maaden finance and technical teams. Define who provides what, sources of information, and internal points of contact for each workstream."/>
    <s v="Hassen Moolla"/>
    <x v="1"/>
    <d v="2026-02-01T00:00:00"/>
    <n v="14"/>
    <d v="2026-02-15T00:00:00"/>
    <n v="1"/>
    <n v="1"/>
    <m/>
  </r>
  <r>
    <x v="1"/>
    <x v="1"/>
    <s v="Budget and BP Inputs &amp; Assumptions"/>
    <s v="Identify the full list of inputs and assumptions required to build the model. Define sources and providers for each item, and set deadlines for delivery."/>
    <s v="Hassen Moolla"/>
    <x v="1"/>
    <d v="2026-02-15T00:00:00"/>
    <n v="18"/>
    <d v="2026-03-05T00:00:00"/>
    <n v="1"/>
    <n v="1"/>
    <s v="The full list of inputs and assumptions has been identified (Maaden view) and sources and providers have been defined. Next step is to build the model."/>
  </r>
  <r>
    <x v="1"/>
    <x v="1"/>
    <s v="5-Year Exploration Plan"/>
    <s v="Develop 5-year Exploration Plan (2026-2030)"/>
    <s v="Owen Hatton"/>
    <x v="1"/>
    <d v="2026-02-15T00:00:00"/>
    <n v="18"/>
    <d v="2026-03-05T00:00:00"/>
    <n v="1"/>
    <n v="1"/>
    <s v="Working program has been prepared and approved by Maaden leadership. Granular view available for 2026 and forecast covering 2027–2030. Available to be shared upon request."/>
  </r>
  <r>
    <x v="1"/>
    <x v="1"/>
    <s v="JV Day-1 Org Chart "/>
    <s v="Finalize the Day-1 organization structure (confirm minimal technical staff requirements, including HSSE)"/>
    <s v="Mohammed Al-Hamed"/>
    <x v="1"/>
    <d v="2026-02-18T00:00:00"/>
    <n v="14"/>
    <d v="2026-03-04T00:00:00"/>
    <n v="1"/>
    <n v="1"/>
    <s v="Day-1 organization structure has been finalized and is ready to be shared."/>
  </r>
  <r>
    <x v="1"/>
    <x v="1"/>
    <s v="Build Draft BP Model"/>
    <s v="Construct the financial and operational model based on the defined inputs, assumptions, and agreed structure. Ensure formulas are robust and the model is auditable."/>
    <s v="Hassen Moolla"/>
    <x v="2"/>
    <d v="2026-03-05T00:00:00"/>
    <n v="7"/>
    <d v="2026-03-12T00:00:00"/>
    <n v="0.7142857142857143"/>
    <n v="0.7"/>
    <s v="Model development is currently being executed. First draft to be delivered by Maaden by 12 March 2026."/>
  </r>
  <r>
    <x v="1"/>
    <x v="1"/>
    <s v="Validate BP with Key Maaden Stakeholders"/>
    <s v="². Incorporate feedback and resolve any open items."/>
    <s v="Hassen Moolla"/>
    <x v="3"/>
    <d v="2026-03-12T00:00:00"/>
    <n v="3"/>
    <d v="2026-03-15T00:00:00"/>
    <n v="0"/>
    <n v="0"/>
    <m/>
  </r>
  <r>
    <x v="1"/>
    <x v="1"/>
    <s v="Align on BP template"/>
    <s v="Maaden and Aramco to align on format/templates of final BP deliverables"/>
    <s v="Hassen Moolla"/>
    <x v="2"/>
    <d v="2026-03-08T00:00:00"/>
    <n v="4"/>
    <d v="2026-03-12T00:00:00"/>
    <n v="0.5"/>
    <n v="0.5"/>
    <m/>
  </r>
  <r>
    <x v="1"/>
    <x v="1"/>
    <s v="Package BP into Final Deliverable"/>
    <s v="Develop final BP deliverables as per template defined"/>
    <s v="Hassen Moolla"/>
    <x v="3"/>
    <d v="2026-03-15T00:00:00"/>
    <n v="7"/>
    <d v="2026-03-22T00:00:00"/>
    <n v="0"/>
    <n v="0"/>
    <m/>
  </r>
  <r>
    <x v="1"/>
    <x v="1"/>
    <s v="BP Final Deliverable validation"/>
    <s v="Validate final deliverables"/>
    <s v="Mohammed Al-Hamed"/>
    <x v="3"/>
    <d v="2026-03-22T00:00:00"/>
    <n v="2"/>
    <d v="2026-03-24T00:00:00"/>
    <n v="0"/>
    <n v="0"/>
    <m/>
  </r>
  <r>
    <x v="1"/>
    <x v="1"/>
    <s v="Aramco Feedback on BP &amp; Update"/>
    <s v="Share the finalized BP with Aramco for review. Collect feedback, incorporate agreed changes, and lock the final version for approval"/>
    <s v="Mohammed Al-Hamed"/>
    <x v="3"/>
    <d v="2026-03-24T00:00:00"/>
    <n v="7"/>
    <d v="2026-03-31T00:00:00"/>
    <n v="0"/>
    <n v="0"/>
    <m/>
  </r>
  <r>
    <x v="0"/>
    <x v="2"/>
    <m/>
    <m/>
    <m/>
    <x v="0"/>
    <d v="2026-02-01T00:00:00"/>
    <n v="56"/>
    <d v="2026-03-29T00:00:00"/>
    <m/>
    <m/>
    <m/>
  </r>
  <r>
    <x v="1"/>
    <x v="2"/>
    <s v="TSA Technical Services Catalogue "/>
    <s v="Develop the catalogue of technical services to be provided by Maaden to the JV under the TSA, identify what services are to be provided by 3d parties"/>
    <s v="Owen Hatton"/>
    <x v="1"/>
    <d v="2026-02-01T00:00:00"/>
    <n v="11"/>
    <d v="2026-02-12T00:00:00"/>
    <n v="1"/>
    <n v="1"/>
    <m/>
  </r>
  <r>
    <x v="1"/>
    <x v="2"/>
    <s v="TSA Charge-out Rate Methodology"/>
    <s v="Define the pricing methodology: establish the approach and basis for pricing each category of services (e.g., cost-plus, market benchmark, fixed fee)"/>
    <s v="Hassen Moolla"/>
    <x v="1"/>
    <d v="2026-02-12T00:00:00"/>
    <n v="24"/>
    <d v="2026-03-08T00:00:00"/>
    <n v="1"/>
    <n v="1"/>
    <s v=" Initial approach has been defined. To be reviewed and agreed with workstream leader during the week of 8–15 March 2026."/>
  </r>
  <r>
    <x v="1"/>
    <x v="2"/>
    <s v="TSA Charge-out Rates Determination"/>
    <s v="Apply the agreed pricing methodology to determine the applicable rates for each service in the catalogue"/>
    <s v="Hassen Moolla"/>
    <x v="2"/>
    <d v="2026-03-08T00:00:00"/>
    <n v="7"/>
    <d v="2026-03-15T00:00:00"/>
    <n v="0.2857142857142857"/>
    <n v="0.3"/>
    <s v="To be initiated following review and agreement of the pricing methodology with workstream leaders. Target completion by 15 March 2026."/>
  </r>
  <r>
    <x v="1"/>
    <x v="2"/>
    <s v="TSA Governance structure"/>
    <s v="Define TSA governance structure and process: how TSA services are requested, approved, monitored, billed, paid, accounted (TSA management process)"/>
    <s v="Muddassar"/>
    <x v="2"/>
    <d v="2026-03-04T00:00:00"/>
    <n v="14"/>
    <d v="2026-03-18T00:00:00"/>
    <n v="0.42857142857142855"/>
    <n v="0.3"/>
    <s v="Aramco TSA has been reviewed and comments shared with legal. On Maaden TSA, concept is being developed; first internal discussions with Maaden project leadership scheduled for early next week."/>
  </r>
  <r>
    <x v="1"/>
    <x v="2"/>
    <s v="TSA Legal framework"/>
    <s v="Finalize the TSA legal framework:  draft and agree on the legal terms and conditions governing the provision of services, including scope, performance standards, liability, and termination provisions"/>
    <s v="Aseel Alnafea"/>
    <x v="2"/>
    <d v="2026-03-08T00:00:00"/>
    <n v="14"/>
    <d v="2026-03-22T00:00:00"/>
    <n v="0.14285714285714285"/>
    <n v="0.15"/>
    <m/>
  </r>
  <r>
    <x v="1"/>
    <x v="2"/>
    <s v="Aramco Feedback on TSA &amp; Update"/>
    <s v="Share the finalized TSA version with Aramco for review. Collect feedback, incorporate agreed changes, and lock the final version for approval."/>
    <s v="Muddassar Khan"/>
    <x v="3"/>
    <d v="2026-03-22T00:00:00"/>
    <n v="7"/>
    <d v="2026-03-29T00:00:00"/>
    <n v="0"/>
    <n v="0"/>
    <m/>
  </r>
  <r>
    <x v="0"/>
    <x v="3"/>
    <m/>
    <m/>
    <m/>
    <x v="0"/>
    <d v="2026-02-01T00:00:00"/>
    <n v="56"/>
    <d v="2026-03-29T00:00:00"/>
    <m/>
    <m/>
    <m/>
  </r>
  <r>
    <x v="1"/>
    <x v="3"/>
    <s v="GSA Catalogue of services"/>
    <s v="Develop the catalogue of services to be provided by Maaden to the JV under the GSA"/>
    <s v="Hassen Moolla"/>
    <x v="4"/>
    <d v="2026-02-01T00:00:00"/>
    <n v="35"/>
    <d v="2026-03-08T00:00:00"/>
    <n v="1"/>
    <n v="0.8"/>
    <s v=" Catalogue has been developed and partially validated by workstream leaders. Target to finalise validation by 10 March 2026."/>
  </r>
  <r>
    <x v="1"/>
    <x v="3"/>
    <s v="GSA Charge-out Rate Methodology"/>
    <s v="Define the pricing methodology: establish the approach and basis for pricing each category of services (e.g., cost-plus, market benchmark, fixed fee)"/>
    <s v="Hassen Moolla"/>
    <x v="2"/>
    <d v="2026-02-16T00:00:00"/>
    <n v="24"/>
    <d v="2026-03-12T00:00:00"/>
    <n v="0.91666666666666663"/>
    <n v="0.8"/>
    <s v=" Initial approach has been defined. To be reviewed and agreed with workstream leaders during the week of 8–15 March 2026."/>
  </r>
  <r>
    <x v="1"/>
    <x v="3"/>
    <s v="GSA Charge-out Rates Determination"/>
    <s v="Apply the agreed pricing methodology to determine the applicable rates for each service in the catalogue"/>
    <s v="Hassen Moolla"/>
    <x v="3"/>
    <d v="2026-03-12T00:00:00"/>
    <n v="7"/>
    <d v="2026-03-19T00:00:00"/>
    <n v="0"/>
    <n v="0"/>
    <m/>
  </r>
  <r>
    <x v="1"/>
    <x v="3"/>
    <s v="GSA Governance structure"/>
    <s v="Define GSA governance structure and process : how GSA services are requested, approved, monitored, billed, paid, accounted (GSA management process)"/>
    <s v="Muddassar"/>
    <x v="2"/>
    <d v="2026-03-04T00:00:00"/>
    <n v="14"/>
    <d v="2026-03-18T00:00:00"/>
    <n v="0.42857142857142855"/>
    <n v="0.3"/>
    <s v="On Maaden GSA, concept is being developed; first internal discussions with Maaden project leadership scheduled for early next week."/>
  </r>
  <r>
    <x v="1"/>
    <x v="3"/>
    <s v="GSA Legal framework"/>
    <s v="Finalize the GSA legal framework:  draft and agree on the legal terms and conditions governing the provision of services, including scope, performance standards, liability, and termination provisions"/>
    <s v="Aseel Alnafea"/>
    <x v="2"/>
    <d v="2026-03-08T00:00:00"/>
    <n v="14"/>
    <d v="2026-03-22T00:00:00"/>
    <n v="0.14285714285714285"/>
    <n v="0.15"/>
    <m/>
  </r>
  <r>
    <x v="1"/>
    <x v="3"/>
    <s v="Aramco Feedback on GSA &amp; Update"/>
    <s v="Share the finalized TSA version with Aramco for review. Collect feedback, incorporate agreed changes, and lock the final version for approval"/>
    <s v="Muddassar Khan"/>
    <x v="3"/>
    <d v="2026-03-22T00:00:00"/>
    <n v="7"/>
    <d v="2026-03-29T00:00:00"/>
    <n v="0"/>
    <n v="0"/>
    <s v="STILL OPEN. Schedule 13 is completely empty. Each party needs to disclose their existing competing businesses. This is referenced in Clause 20.1(a)(i).STILL OPEN. Schedule 14 is completely empty. The funding notice templates need to be developed._x000a_Plus, the distinction between 'Form of Funding Notices' and 'Funding Request Notice template' is unclear in the SHA."/>
  </r>
  <r>
    <x v="0"/>
    <x v="4"/>
    <m/>
    <m/>
    <m/>
    <x v="0"/>
    <d v="2026-02-15T00:00:00"/>
    <n v="37"/>
    <d v="2026-03-24T00:00:00"/>
    <m/>
    <m/>
    <m/>
  </r>
  <r>
    <x v="1"/>
    <x v="4"/>
    <s v="Shareholders DoAs reference "/>
    <s v="Obtain reference governance framework, obtain Maaden's existing Authority Matrix and Aramco's governance frameworks as benchmarks for the JV"/>
    <s v="Mawiyah Alqaed"/>
    <x v="1"/>
    <d v="2026-02-24T00:00:00"/>
    <n v="9"/>
    <d v="2026-03-05T00:00:00"/>
    <n v="1"/>
    <n v="1"/>
    <m/>
  </r>
  <r>
    <x v="1"/>
    <x v="4"/>
    <s v="Complete Design of DoA (Shedule 15)"/>
    <s v="Design the multi-tiered financial approval matrix (incl governance and internal controls) : define approval tiers below Board thresholds across CAPEX, OPEX, contracts, procurement, HR, litigation, treasury, and asset management, aligned with SHA"/>
    <s v="Omar Jabart"/>
    <x v="2"/>
    <d v="2026-02-15T00:00:00"/>
    <n v="30"/>
    <d v="2026-03-17T00:00:00"/>
    <n v="0.76666666666666672"/>
    <n v="0.8"/>
    <s v="Mar 9th: Draft prepared; under review by Effat"/>
  </r>
  <r>
    <x v="1"/>
    <x v="4"/>
    <s v="Aramco Feedback on DoA &amp; Update"/>
    <s v="Share the finalized DoA version with Aramco for review. Collect feedback, incorporate agreed changes, and lock the final version for approval"/>
    <s v="Muddassar/ Mohammed"/>
    <x v="3"/>
    <d v="2026-03-17T00:00:00"/>
    <n v="7"/>
    <d v="2026-03-24T00:00:00"/>
    <n v="0"/>
    <n v="0"/>
    <m/>
  </r>
  <r>
    <x v="0"/>
    <x v="5"/>
    <m/>
    <m/>
    <m/>
    <x v="0"/>
    <d v="2026-02-01T00:00:00"/>
    <n v="62"/>
    <d v="2026-04-04T00:00:00"/>
    <m/>
    <m/>
    <m/>
  </r>
  <r>
    <x v="1"/>
    <x v="5"/>
    <s v="Secondment framework"/>
    <s v="Develop secondment framework agreement (duration, cost basis, reporting lines, benefits)"/>
    <s v="Rene Thumbran"/>
    <x v="2"/>
    <d v="2026-02-01T00:00:00"/>
    <n v="40"/>
    <d v="2026-03-13T00:00:00"/>
    <n v="0.92500000000000004"/>
    <n v="0.8"/>
    <s v="Standard master framework"/>
  </r>
  <r>
    <x v="1"/>
    <x v="5"/>
    <s v="Secondment Agreement Allocation Methodology"/>
    <s v="Define cost allocation methodology and determine cost rates for secondees"/>
    <s v="Rene Thumbran"/>
    <x v="2"/>
    <d v="2026-02-02T00:00:00"/>
    <n v="40"/>
    <d v="2026-03-14T00:00:00"/>
    <n v="0.9"/>
    <n v="0.8"/>
    <m/>
  </r>
  <r>
    <x v="1"/>
    <x v="5"/>
    <s v="JV Secondment Agreement draft"/>
    <s v="Draft JV secondment agreement"/>
    <s v="Aseel Alnafea"/>
    <x v="3"/>
    <d v="2026-03-14T00:00:00"/>
    <n v="14"/>
    <d v="2026-03-28T00:00:00"/>
    <n v="0"/>
    <n v="0"/>
    <s v="with support of Rene Thumbran"/>
  </r>
  <r>
    <x v="1"/>
    <x v="5"/>
    <s v="Aramco Feedback on Secondment Agreement &amp; Update"/>
    <s v="Share the finalized Secondment Agreement with Aramco for review. Collect feedback, incorporate agreed changes, and lock the final version for approval"/>
    <s v="Muddassar/ Mohammed"/>
    <x v="3"/>
    <d v="2026-03-28T00:00:00"/>
    <n v="7"/>
    <d v="2026-04-04T00:00:00"/>
    <n v="0"/>
    <n v="0"/>
    <m/>
  </r>
  <r>
    <x v="0"/>
    <x v="6"/>
    <m/>
    <m/>
    <m/>
    <x v="0"/>
    <d v="2026-02-19T00:00:00"/>
    <n v="62"/>
    <d v="2026-04-22T00:00:00"/>
    <m/>
    <m/>
    <m/>
  </r>
  <r>
    <x v="1"/>
    <x v="6"/>
    <s v="SHA Sch.11 Guarantee for Permitted Transfers"/>
    <s v="Agree Form of Guarantee for Permitted Transfers (Schedule 11)"/>
    <s v="Muddassar Khan"/>
    <x v="2"/>
    <d v="2026-02-19T00:00:00"/>
    <n v="20"/>
    <d v="2026-03-11T00:00:00"/>
    <n v="0.95"/>
    <m/>
    <m/>
  </r>
  <r>
    <x v="1"/>
    <x v="6"/>
    <s v="SHA Sch.12 Form of the Agreement "/>
    <s v="Finalize Form of Shareholder Services Agreement (Schedule 12)"/>
    <s v="Muddassar Khan"/>
    <x v="3"/>
    <d v="2026-03-18T00:00:00"/>
    <n v="7"/>
    <d v="2026-03-25T00:00:00"/>
    <n v="0"/>
    <m/>
    <s v="STILL OPEN. What exactly is this form? We understand GSA is a separament document, correct? "/>
  </r>
  <r>
    <x v="1"/>
    <x v="6"/>
    <s v="SHA Sch.14 Competing business disclosure"/>
    <s v="Complete existing competing businesses disclosure (Schedule 14) (action also required for aramco)"/>
    <s v="Aseel Alnafea"/>
    <x v="2"/>
    <d v="2026-02-24T00:00:00"/>
    <n v="14"/>
    <d v="2026-03-10T00:00:00"/>
    <n v="1"/>
    <m/>
    <s v="STILL OPEN. Schedule 13 is completely empty. Each party needs to disclose their existing competing businesses. This is referenced in Clause 20.1(a)(i)."/>
  </r>
  <r>
    <x v="1"/>
    <x v="6"/>
    <s v="SHA Sch.15 Funding Notices"/>
    <s v="Develop Form of Funding Notices, and standard Funding Request Notice template (Schedule 15) and share with Legal for incorporation into SHA"/>
    <s v="Hassen Moolla"/>
    <x v="2"/>
    <d v="2026-02-19T00:00:00"/>
    <n v="20"/>
    <d v="2026-03-11T00:00:00"/>
    <n v="0.95"/>
    <n v="0.95"/>
    <s v="Hassen to share with Legal"/>
  </r>
  <r>
    <x v="1"/>
    <x v="6"/>
    <s v="SHA Sch.2 Area of Interest and Transition Zone"/>
    <s v="Provide all Area of Interest and Transition Zone maps and coordinates (Schedule 2) and share with Legal for incorporation into SHA"/>
    <s v="Mohammed Al-Hamed"/>
    <x v="2"/>
    <d v="2026-02-19T00:00:00"/>
    <n v="20"/>
    <d v="2026-03-11T00:00:00"/>
    <n v="0.95"/>
    <n v="0.95"/>
    <s v="Map in Part 1 is included, but all coordinate fields and the Transition Zone map remain as placeholders. Footnote 5 explicitly asks MDN to confirm."/>
  </r>
  <r>
    <x v="1"/>
    <x v="6"/>
    <s v="Exploration License Assignment Agreeement"/>
    <s v="Finalize Exploration License Assignment Agreeement"/>
    <s v="Muddassar Khan"/>
    <x v="2"/>
    <d v="2026-02-19T00:00:00"/>
    <n v="42"/>
    <d v="2026-04-02T00:00:00"/>
    <n v="0.45238095238095238"/>
    <m/>
    <s v="Is this a separate agreement, or should it be a SHA section/schedule?_x000a_Is this the same as Exploration Services Agreement?"/>
  </r>
  <r>
    <x v="1"/>
    <x v="6"/>
    <s v="Exploration Services Agreement "/>
    <s v="Finalize Exploration Services Agreement "/>
    <s v="Muddassar Khan"/>
    <x v="2"/>
    <d v="2026-02-19T00:00:00"/>
    <n v="42"/>
    <d v="2026-04-02T00:00:00"/>
    <n v="0.45238095238095238"/>
    <m/>
    <s v="Confirm with Aramco/Legal if this is Maaden's Technical Service Agreements or something else._x000a_Note: CVA validated full catalogue of technical services with Mohammed/Owen, next step: determine prices/SLAs with Abulrahman and Hassen"/>
  </r>
  <r>
    <x v="1"/>
    <x v="6"/>
    <s v="Aramco Feedback on SHA pack &amp; Update"/>
    <s v="Share the final SHA documentation with Aramco for review. Collect feedback, incorporate agreed changes, and lock the final version for approval"/>
    <s v="Muddassar/ Mohammed"/>
    <x v="3"/>
    <d v="2026-04-02T00:00:00"/>
    <n v="20"/>
    <d v="2026-04-22T00:00:00"/>
    <n v="0"/>
    <n v="0"/>
    <m/>
  </r>
  <r>
    <x v="0"/>
    <x v="7"/>
    <m/>
    <m/>
    <m/>
    <x v="0"/>
    <d v="2026-02-08T00:00:00"/>
    <n v="95"/>
    <d v="2026-05-14T00:00:00"/>
    <m/>
    <m/>
    <m/>
  </r>
  <r>
    <x v="1"/>
    <x v="7"/>
    <s v="Maaden IC"/>
    <s v="Prepare material and obtain approval at Maaden Investment Committee meeting"/>
    <s v="Muddassar Khan"/>
    <x v="1"/>
    <d v="2026-02-08T00:00:00"/>
    <n v="1"/>
    <d v="2026-02-09T00:00:00"/>
    <n v="1"/>
    <n v="1"/>
    <m/>
  </r>
  <r>
    <x v="1"/>
    <x v="7"/>
    <s v="Maaden ExCom"/>
    <s v="Prepare material and obtain approval at Maaden Excom meeting (Feb 17)"/>
    <s v="Muddassar Khan"/>
    <x v="1"/>
    <d v="2026-02-17T00:00:00"/>
    <n v="1"/>
    <d v="2026-02-18T00:00:00"/>
    <n v="1"/>
    <n v="1"/>
    <m/>
  </r>
  <r>
    <x v="1"/>
    <x v="7"/>
    <s v="Maaden BoD"/>
    <s v="Prepare material and obtain approval at BoD meeting (Mar 5)"/>
    <s v="Muddassar Khan"/>
    <x v="1"/>
    <d v="2026-03-05T00:00:00"/>
    <n v="1"/>
    <d v="2026-03-06T00:00:00"/>
    <n v="1"/>
    <n v="1"/>
    <s v="Incorporation resolution, Properly executed according to each Shareholder's internal corporate governance requirements, Likely notarized and legalized/apostilled for use in MOC"/>
  </r>
  <r>
    <x v="1"/>
    <x v="7"/>
    <s v="365-Day Implementation Plan Draft"/>
    <s v="Draft 365 Day Implementation Plan"/>
    <s v="Muddassar Khan"/>
    <x v="1"/>
    <d v="2026-02-23T00:00:00"/>
    <n v="14"/>
    <d v="2026-03-09T00:00:00"/>
    <n v="1"/>
    <n v="1"/>
    <s v="Draft reviewed by Mohammed and Muddassar on Mar 9th "/>
  </r>
  <r>
    <x v="1"/>
    <x v="7"/>
    <s v="365-Day Implementation Plan (Final)"/>
    <s v="Review and share the finalized Plan with Aramco for review. Collect feedback, incorporate agreed changes, and lock the final version for approval"/>
    <s v="Muddassar Khan"/>
    <x v="2"/>
    <d v="2026-03-09T00:00:00"/>
    <n v="7"/>
    <d v="2026-03-16T00:00:00"/>
    <n v="0.14285714285714285"/>
    <n v="0.25"/>
    <m/>
  </r>
  <r>
    <x v="1"/>
    <x v="7"/>
    <s v="5-year Implementation Plan Draft"/>
    <s v="Draft JV Long-term Implementation Plan (key milestones)"/>
    <s v="Muddassar Khan"/>
    <x v="1"/>
    <d v="2026-02-23T00:00:00"/>
    <n v="14"/>
    <d v="2026-03-09T00:00:00"/>
    <n v="1"/>
    <n v="1"/>
    <s v="Draft reviewed by Mohammed and Muddassar on Mar 9th "/>
  </r>
  <r>
    <x v="1"/>
    <x v="7"/>
    <s v="5-year Implementation Plan (Final)"/>
    <s v="Review and share the finalized Plan with Aramco for review. Collect feedback, incorporate agreed changes, and lock the final version for approval"/>
    <s v="Muddassar Khan"/>
    <x v="2"/>
    <d v="2026-03-09T00:00:00"/>
    <n v="7"/>
    <d v="2026-03-16T00:00:00"/>
    <n v="0.14285714285714285"/>
    <n v="0.25"/>
    <m/>
  </r>
  <r>
    <x v="1"/>
    <x v="7"/>
    <s v="Board of Directors Aramco"/>
    <s v="Obtain approval at BoD meeting (mid-May)"/>
    <s v="Aramco"/>
    <x v="3"/>
    <d v="2026-05-08T00:00:00"/>
    <n v="1"/>
    <d v="2026-05-09T00:00:00"/>
    <n v="0"/>
    <n v="0"/>
    <m/>
  </r>
  <r>
    <x v="1"/>
    <x v="7"/>
    <s v="SHA signed by both Shareholders"/>
    <s v="Sign Shareholder Agreement"/>
    <s v="Maaden and Aramco CEOs"/>
    <x v="3"/>
    <d v="2026-05-09T00:00:00"/>
    <n v="5"/>
    <d v="2026-05-14T00:00:00"/>
    <n v="0"/>
    <n v="0"/>
    <s v="Need to confirme timeline and what is prerequisite for signing and what can be handled as CP._x000a_This is the final deliverable. Potential key blockers: multiple empty schedules, numerous 'Note to Draft' items, outstanding commercial terms"/>
  </r>
  <r>
    <x v="0"/>
    <x v="8"/>
    <m/>
    <m/>
    <m/>
    <x v="0"/>
    <d v="2026-03-01T00:00:00"/>
    <n v="143"/>
    <d v="2026-07-22T00:00:00"/>
    <m/>
    <m/>
    <m/>
  </r>
  <r>
    <x v="2"/>
    <x v="9"/>
    <s v="Power of Attorney (PoA)"/>
    <s v="Issue legalized power of attorney authorizing Kingdom representatives before MOC and SBC (action also required for Aramco)"/>
    <s v="Omar Jabart"/>
    <x v="1"/>
    <d v="2026-03-01T00:00:00"/>
    <n v="14"/>
    <d v="2026-03-15T00:00:00"/>
    <n v="0.6428571428571429"/>
    <m/>
    <s v=" authorize representatives before MOC and SBC (Maaden issued, Aramco pending), PoA was issued for AshLaw, a question to Aramco about their PoA"/>
  </r>
  <r>
    <x v="2"/>
    <x v="9"/>
    <s v="Trade name reservation"/>
    <s v="Submit reservation of Trade name with Saudi Business Center (SBC), and obtain name approval from MOC"/>
    <s v="Aseel Alnafea"/>
    <x v="3"/>
    <d v="2026-03-15T00:00:00"/>
    <n v="7"/>
    <d v="2026-03-22T00:00:00"/>
    <n v="0"/>
    <n v="0"/>
    <s v="AshLaw  24 hours (in MPP ithe timeline is 5-10 business days) A commercial name reservation remains valid for only 60 days but may be renewed prior to expiry. _x000a_"/>
  </r>
  <r>
    <x v="2"/>
    <x v="9"/>
    <s v="Constitutional documents"/>
    <s v="Gather constitutional documents and Financial Statements (e.g., certificate of incorporation and articles (or equivalent) and audited financial statements of each Shareholder"/>
    <s v="Mawiyah Alqaed"/>
    <x v="3"/>
    <d v="2026-03-15T00:00:00"/>
    <n v="14"/>
    <d v="2026-03-29T00:00:00"/>
    <n v="0"/>
    <n v="0"/>
    <s v="Based on the SHA document, for MOC/SBC approval of AoA"/>
  </r>
  <r>
    <x v="2"/>
    <x v="9"/>
    <s v="Board members nomination"/>
    <s v="Both shareholders nominate board members"/>
    <s v="Maaden and Aramco CEOs"/>
    <x v="3"/>
    <d v="2026-04-02T00:00:00"/>
    <n v="7"/>
    <d v="2026-04-09T00:00:00"/>
    <n v="0"/>
    <n v="0"/>
    <m/>
  </r>
  <r>
    <x v="2"/>
    <x v="9"/>
    <s v="Initial Board remuneration "/>
    <s v="Define initial remuneration for Board Memebrs (action also required for Aramco)"/>
    <s v="Mawiyah Alqaed"/>
    <x v="3"/>
    <d v="2026-04-09T00:00:00"/>
    <n v="14"/>
    <d v="2026-04-23T00:00:00"/>
    <n v="0"/>
    <m/>
    <s v="To be completed once the board member nomination list is finalised."/>
  </r>
  <r>
    <x v="2"/>
    <x v="9"/>
    <s v="Board members’ and GM information"/>
    <s v="Gather - from each board member and GM - a copy of passport/ID and contact information for MoC (action also required for Aramco)"/>
    <s v="Mawiyah Alqaed"/>
    <x v="3"/>
    <d v="2026-04-02T00:00:00"/>
    <n v="14"/>
    <d v="2026-04-16T00:00:00"/>
    <n v="0"/>
    <n v="0"/>
    <s v="Source: Steps Plan - company incorporation"/>
  </r>
  <r>
    <x v="2"/>
    <x v="9"/>
    <s v="Details of the ultimate beneficiary(ies) for MOC"/>
    <s v="Gather information of the ultimate beneficiaries for Ministry of Commerce"/>
    <s v="Mawiyah Alqaed"/>
    <x v="3"/>
    <d v="2026-04-30T00:00:00"/>
    <n v="14"/>
    <d v="2026-05-14T00:00:00"/>
    <n v="0"/>
    <n v="0"/>
    <s v="For and Aramco, since it is a listed joint stock company, the following information would be required for the natural person having the authority to represent in general assemblies of companies owned by Maaden:_x000a_• Full name._x000a_• ID number._x000a_• Date and place of birth._x000a_• Nationality._x000a_• National address._x000a_• Phone number._x000a_• Email address (if any)._x000a_Ultamate Benifiacry is on Tadawul for Maaden and Aramco"/>
  </r>
  <r>
    <x v="2"/>
    <x v="9"/>
    <s v="Board members/GM appointment consent"/>
    <s v="Board members and GM to approve their appointment - completed via Absher digital system (action also required for Aramco)"/>
    <s v="Mawiyah Alqaed"/>
    <x v="3"/>
    <d v="2026-04-02T00:00:00"/>
    <n v="14"/>
    <d v="2026-04-16T00:00:00"/>
    <n v="0"/>
    <n v="0"/>
    <s v="For KSA nationals/residents, approval can be made:_x000a_•electronically through a onetime password sent to the phone number registered with the KSA authorities, which can be shared with CC at the relevant time; or_x000a_•in writing by signing a consent letter and authenticating the signature before: (i) the Chamber of Commerce; (ii) MOC; or (iii) a KSA licensed bank._x000a_•_x000a_For non-KSA nationals/residents, approval can be made in writing by signing a consent letter and authenticating the signature by apostille or notarization and legalization up to the level of the KSA embassy and the Ministry of Foreign Affairs."/>
  </r>
  <r>
    <x v="2"/>
    <x v="10"/>
    <s v="GAC no-notification application form"/>
    <s v="Prepare GAC no-notification application form to be submitted to the GAC"/>
    <s v="Aseel Alnafea"/>
    <x v="3"/>
    <d v="2026-04-15T00:00:00"/>
    <n v="7"/>
    <d v="2026-04-22T00:00:00"/>
    <n v="0"/>
    <n v="0"/>
    <s v="Critical path , prior  to AoA notarization and CR issuing. waiting period up to 90 days, it will require a significant pack of documents: signed SHA, transaction description, copies of CR, AoA of the mother companies, org chart of the mother companies,audited finance reports…"/>
  </r>
  <r>
    <x v="2"/>
    <x v="10"/>
    <s v="GAC no-notification economic report"/>
    <s v="Submit GAC no-notification economic report"/>
    <s v="Aseel Alnafea"/>
    <x v="3"/>
    <d v="2026-04-15T00:00:00"/>
    <n v="7"/>
    <d v="2026-04-22T00:00:00"/>
    <n v="0"/>
    <n v="0"/>
    <m/>
  </r>
  <r>
    <x v="2"/>
    <x v="10"/>
    <s v="GAC approval"/>
    <s v="Apply for and receive all required antitrust approvals (including GAC confirmation of non-applicability)"/>
    <s v="Aseel Alnafea"/>
    <x v="3"/>
    <d v="2026-05-14T00:00:00"/>
    <n v="60"/>
    <d v="2026-07-13T00:00:00"/>
    <n v="0"/>
    <n v="0"/>
    <m/>
  </r>
  <r>
    <x v="2"/>
    <x v="9"/>
    <s v="Board appointment Shareholders resolutions"/>
    <s v="Each Shareholder formally approves the appointment of their nominated Directors (action also required for Aramco)"/>
    <s v="Mawiyah Alqaed"/>
    <x v="3"/>
    <d v="2026-04-02T00:00:00"/>
    <n v="14"/>
    <d v="2026-04-16T00:00:00"/>
    <n v="0"/>
    <n v="0"/>
    <s v="Schedule 12, Part 2, paragraph 3.1 requires that at least three (3) Business Days prior to the Commencement Date, each Shareholder must deliver to the other a written Shareholders' resolution approving the appointment of their respective Directors in accordance with Clause 6."/>
  </r>
  <r>
    <x v="2"/>
    <x v="9"/>
    <s v="AoA drafting"/>
    <s v="Draft AoA incorporating SHA terms and get shareholders approval"/>
    <s v="Omar Jabart"/>
    <x v="3"/>
    <d v="2026-04-15T00:00:00"/>
    <n v="21"/>
    <d v="2026-05-06T00:00:00"/>
    <n v="0"/>
    <n v="0"/>
    <s v="with support of Aseel Alnafea /AshLaw_x000a_(paragraph 2.1.2(d) of Part 2, Schedule 12) Arabic, per MOC template;_x000a_Led by Mawiyah Alqaed/Aramco Governance with support of Aseel Alnafea / Aramco Legal"/>
  </r>
  <r>
    <x v="2"/>
    <x v="9"/>
    <s v="AoA approval"/>
    <s v="Submit AoA through SBC Portal (MOC) for MOC approval "/>
    <s v="Omar Jabart"/>
    <x v="3"/>
    <d v="2026-05-06T00:00:00"/>
    <n v="21"/>
    <d v="2026-05-27T00:00:00"/>
    <n v="0"/>
    <n v="0"/>
    <s v=" 2-3 weeks for MOC review. At the Commencement date SHaholders exchange signed SHA and transactional documents (Secondment Agreement, GSAs, TSAs, ESA) On the Commencement Date, the AoA are signed before MOC/SBC, shares are issued, and the entity comes into existence. The directors named in those pre-completion resolutions are effectively the initial directors._x000a_"/>
  </r>
  <r>
    <x v="2"/>
    <x v="10"/>
    <s v="AoA signing"/>
    <s v="Sign AoA before MOC/SBC official (via SBC portal) (with participation of Aramco)"/>
    <s v="Aseel Alnafea"/>
    <x v="3"/>
    <d v="2026-07-13T00:00:00"/>
    <n v="1"/>
    <d v="2026-07-14T00:00:00"/>
    <n v="0"/>
    <n v="0"/>
    <s v="At the Commencement date SHaholders exchange signed SHA and transactional documents (Secondment Agreement, GSAs, TSAs, ESA)On the Commencement Date, the AoA are signed before MOC/SBC, shares are issued, and the entity comes into existence. The directors named in those pre-completion resolutions are effectively the initial directors."/>
  </r>
  <r>
    <x v="2"/>
    <x v="9"/>
    <s v="AoA issuing "/>
    <s v="Complete payment of the MOC application and publication fees, Deliver Articles of Association issued electronically via the SBC portal"/>
    <s v="Mawiyah Alqaed"/>
    <x v="3"/>
    <d v="2026-07-14T00:00:00"/>
    <n v="2"/>
    <d v="2026-07-16T00:00:00"/>
    <n v="0"/>
    <n v="0"/>
    <s v="with support of Maaden GR (Abdulrahman Abdullah Al-zahrani)_x000a_Payment of the relevant application fees must be made through SADAD within a period to be specified in an invoice to be issued by MOC; otherwise, the application will be cancelled automatically. MOC typically publishes the articles of association within 24 hours after the payment has been made."/>
  </r>
  <r>
    <x v="2"/>
    <x v="9"/>
    <s v="Maaden Board Members Registration with MOC"/>
    <s v="Formally register all Maaden  directors with MOC"/>
    <s v="Omar Jabart"/>
    <x v="3"/>
    <d v="2026-07-16T00:00:00"/>
    <n v="3"/>
    <d v="2026-07-19T00:00:00"/>
    <n v="0"/>
    <n v="0"/>
    <m/>
  </r>
  <r>
    <x v="2"/>
    <x v="9"/>
    <s v="Aramco Board Members Registration with MOC"/>
    <s v="Formally register all Aramco directors with MOC"/>
    <s v="Aramco"/>
    <x v="3"/>
    <d v="2026-07-16T00:00:00"/>
    <n v="3"/>
    <d v="2026-07-19T00:00:00"/>
    <n v="0"/>
    <n v="0"/>
    <m/>
  </r>
  <r>
    <x v="2"/>
    <x v="9"/>
    <s v="Commercial Registration (CR)"/>
    <s v="Obtain CR from Ministry of Commerce"/>
    <s v="Omar Jabart"/>
    <x v="3"/>
    <d v="2026-07-19T00:00:00"/>
    <n v="3"/>
    <d v="2026-07-22T00:00:00"/>
    <n v="0"/>
    <n v="0"/>
    <s v=" or Aramco Governance depending on AoA submission"/>
  </r>
  <r>
    <x v="0"/>
    <x v="11"/>
    <m/>
    <m/>
    <m/>
    <x v="0"/>
    <d v="2026-07-22T00:00:00"/>
    <n v="14"/>
    <d v="2026-08-05T00:00:00"/>
    <m/>
    <m/>
    <m/>
  </r>
  <r>
    <x v="3"/>
    <x v="12"/>
    <s v="Chamber of Commerce registration"/>
    <s v="Register with local Chamber of Commerce"/>
    <s v="Abdulrahman Abdullah Al-zahrani"/>
    <x v="3"/>
    <d v="2026-07-22T00:00:00"/>
    <n v="7"/>
    <d v="2026-07-29T00:00:00"/>
    <n v="0"/>
    <n v="0"/>
    <m/>
  </r>
  <r>
    <x v="3"/>
    <x v="10"/>
    <s v="ZAKAT, TAX and Customs registration"/>
    <s v="Register with the ZAKAT, Tax and Customs Authority"/>
    <s v="Abdullah Alzamil"/>
    <x v="3"/>
    <d v="2026-07-22T00:00:00"/>
    <n v="7"/>
    <d v="2026-07-29T00:00:00"/>
    <n v="0"/>
    <n v="0"/>
    <s v="Required for invoicing"/>
  </r>
  <r>
    <x v="3"/>
    <x v="10"/>
    <s v="VAT registration"/>
    <s v="Register for VAT with ZATCA"/>
    <s v="Abdullah Alzamil"/>
    <x v="3"/>
    <d v="2026-07-22T00:00:00"/>
    <n v="14"/>
    <d v="2026-08-05T00:00:00"/>
    <n v="0"/>
    <n v="0"/>
    <m/>
  </r>
  <r>
    <x v="3"/>
    <x v="12"/>
    <s v="GOSI registration"/>
    <s v="Register with General Organization for Social Insurance (GOSI)"/>
    <s v="Abdulrahman Abdullah Al-zahrani"/>
    <x v="3"/>
    <d v="2026-07-22T00:00:00"/>
    <n v="7"/>
    <d v="2026-07-29T00:00:00"/>
    <n v="0"/>
    <n v="0"/>
    <s v="Required before hiring"/>
  </r>
  <r>
    <x v="3"/>
    <x v="13"/>
    <s v="MHRSD registration"/>
    <s v="Register with Ministry of Human Resources (MHRSD)"/>
    <s v="Rene Thumbran"/>
    <x v="3"/>
    <d v="2026-07-22T00:00:00"/>
    <n v="7"/>
    <d v="2026-07-29T00:00:00"/>
    <n v="0"/>
    <n v="0"/>
    <s v="Labor law compliance"/>
  </r>
  <r>
    <x v="3"/>
    <x v="12"/>
    <s v="Saudi Post Registration"/>
    <s v="Registration with the Saudi Post Office"/>
    <s v="Abdulrahman Abdullah Al-zahrani"/>
    <x v="3"/>
    <d v="2026-07-22T00:00:00"/>
    <n v="7"/>
    <d v="2026-07-29T00:00:00"/>
    <n v="0"/>
    <n v="0"/>
    <m/>
  </r>
  <r>
    <x v="3"/>
    <x v="12"/>
    <s v="Municipality License"/>
    <s v="Obtain a municipality License from Ministry of Municipal and Rural Affairs"/>
    <s v="Abdulrahman Abdullah Al-zahrani"/>
    <x v="3"/>
    <d v="2026-07-22T00:00:00"/>
    <n v="14"/>
    <d v="2026-08-05T00:00:00"/>
    <n v="0"/>
    <n v="0"/>
    <m/>
  </r>
  <r>
    <x v="3"/>
    <x v="13"/>
    <s v="Nitaqat classification"/>
    <s v="Obtain initial Saudization classification"/>
    <s v="Rene Thumbran"/>
    <x v="3"/>
    <d v="2026-07-22T00:00:00"/>
    <n v="14"/>
    <d v="2026-08-05T00:00:00"/>
    <n v="0"/>
    <n v="0"/>
    <m/>
  </r>
  <r>
    <x v="3"/>
    <x v="14"/>
    <s v="Civil Defence Certificate"/>
    <s v="Obtain a Civil Defence Certificate, as necessary"/>
    <s v="Faraj Al Dossary"/>
    <x v="3"/>
    <d v="2026-07-22T00:00:00"/>
    <n v="14"/>
    <d v="2026-08-05T00:00:00"/>
    <n v="0"/>
    <n v="0"/>
    <m/>
  </r>
  <r>
    <x v="0"/>
    <x v="15"/>
    <m/>
    <m/>
    <m/>
    <x v="0"/>
    <d v="2026-05-14T00:00:00"/>
    <n v="97"/>
    <d v="2026-08-19T00:00:00"/>
    <m/>
    <m/>
    <m/>
  </r>
  <r>
    <x v="4"/>
    <x v="9"/>
    <s v="BoD Charter"/>
    <s v="Develop BoD Charter (incl. board composition, committees, authority matrices, voting &amp; veto rights, exec management governance, performance assessment)"/>
    <s v="Mawiyah Alqaed"/>
    <x v="3"/>
    <d v="2026-05-14T00:00:00"/>
    <n v="21"/>
    <d v="2026-06-04T00:00:00"/>
    <n v="0"/>
    <n v="0"/>
    <m/>
  </r>
  <r>
    <x v="4"/>
    <x v="9"/>
    <s v="Board of Directors on-boarding"/>
    <s v="Prepare on-boarding documentation for JV Board of Directors"/>
    <s v="Raud Alsuwailem"/>
    <x v="3"/>
    <d v="2026-06-04T00:00:00"/>
    <n v="14"/>
    <d v="2026-06-18T00:00:00"/>
    <n v="0"/>
    <n v="0"/>
    <m/>
  </r>
  <r>
    <x v="4"/>
    <x v="9"/>
    <s v="Shareholders Resolution (General Assembly)"/>
    <s v="Shareholders undertake all resolutions (by unanimous written circular resolution or General Assembly) required to give effect to SHA terms (action also required for Aramco)"/>
    <s v="Mawiyah Alqaed"/>
    <x v="3"/>
    <d v="2026-07-15T00:00:00"/>
    <n v="7"/>
    <d v="2026-07-22T00:00:00"/>
    <n v="0"/>
    <n v="0"/>
    <s v="Per SHA Clause 3.1(b)"/>
  </r>
  <r>
    <x v="4"/>
    <x v="9"/>
    <s v="Inaugural Board meeting"/>
    <s v="Prepare and conduct first Board meeting and approve foundational resolutions (e.g. company accession)"/>
    <s v="Mawiyah Alqaed"/>
    <x v="3"/>
    <d v="2026-07-22T00:00:00"/>
    <n v="7"/>
    <d v="2026-07-29T00:00:00"/>
    <n v="0"/>
    <n v="0"/>
    <s v="with support of Board Secretary_x000a_First Board Meeting — Must Resolve:_x000a_Appoint Management TeamCEO, CFO, GM of Exploration, Financial Controller Open bank account With KSA-licensed bank Ratify Initial Budget and Business Plan Adopt Related Agreements GSAs, TSA, Secondment, Exploration Services Adopt Company policies HR, finance, procurement, etc.Adopt Initial Authority MatrixDelegation of authority framework"/>
  </r>
  <r>
    <x v="4"/>
    <x v="9"/>
    <s v="Executive management transition plan"/>
    <s v="Develop executive management transition support plan to support smooth handover from setup phase to operational governance"/>
    <s v="Governance dept"/>
    <x v="3"/>
    <d v="2026-07-29T00:00:00"/>
    <n v="21"/>
    <d v="2026-08-19T00:00:00"/>
    <n v="0"/>
    <n v="0"/>
    <s v="First Board Meeting — Must Resolve:_x000a_Appoint Management TeamCEO, CFO, GM of Exploration, Financial Controller Open bank account With KSA-licensed bank Ratify Initial Budget and Business Plan Adopt Related Agreements GSAs, TSA, Secondment, Exploration Services Adopt Company policies HR, finance, procurement, etc.Adopt Initial Authority MatrixDelegation of authority framework"/>
  </r>
  <r>
    <x v="0"/>
    <x v="16"/>
    <m/>
    <m/>
    <m/>
    <x v="0"/>
    <d v="2026-02-17T00:00:00"/>
    <n v="190"/>
    <d v="2026-08-26T00:00:00"/>
    <m/>
    <m/>
    <m/>
  </r>
  <r>
    <x v="5"/>
    <x v="17"/>
    <s v="Financial Policy Manual"/>
    <s v="Identify policy required for JV to operate and develop Finance Policy Manual"/>
    <s v="Hassen Moolla"/>
    <x v="3"/>
    <d v="2026-04-05T00:00:00"/>
    <n v="21"/>
    <d v="2026-04-26T00:00:00"/>
    <n v="0"/>
    <n v="0"/>
    <s v="Leverage Maaden   accounting policy manual, maaden exploration procedure manual to be adopted by JV, "/>
  </r>
  <r>
    <x v="5"/>
    <x v="17"/>
    <s v="JV Financial KPIs "/>
    <s v="Define Finance KPIs &amp; monitor main performance measurement indicators"/>
    <s v="Hassen Moolla"/>
    <x v="3"/>
    <d v="2026-04-05T00:00:00"/>
    <n v="14"/>
    <d v="2026-04-19T00:00:00"/>
    <n v="0"/>
    <n v="0"/>
    <m/>
  </r>
  <r>
    <x v="5"/>
    <x v="17"/>
    <s v="Financial reporting templates"/>
    <s v="Define standard monthly /quarterly financial report templates (including BoD, shareholders) and align with Aramco CFO"/>
    <s v="Hassen Moolla"/>
    <x v="3"/>
    <d v="2026-04-19T00:00:00"/>
    <n v="14"/>
    <d v="2026-05-03T00:00:00"/>
    <n v="0"/>
    <n v="0"/>
    <m/>
  </r>
  <r>
    <x v="5"/>
    <x v="17"/>
    <s v="Auditing principles"/>
    <s v="Agree on external auditor selection criteria and process, define audit committee role, and confirm audit timeline for Year 1"/>
    <s v="Karim Mehboob"/>
    <x v="3"/>
    <d v="2026-04-05T00:00:00"/>
    <n v="14"/>
    <d v="2026-04-19T00:00:00"/>
    <n v="0"/>
    <n v="0"/>
    <m/>
  </r>
  <r>
    <x v="5"/>
    <x v="17"/>
    <s v="External auditor selection"/>
    <s v="Identify and shortlist external auditors, define scope of audit, present recommendation to Board for approval at inaugural meeting"/>
    <s v="Karim Mehboob"/>
    <x v="3"/>
    <d v="2026-04-19T00:00:00"/>
    <n v="60"/>
    <d v="2026-06-18T00:00:00"/>
    <n v="0"/>
    <n v="0"/>
    <m/>
  </r>
  <r>
    <x v="5"/>
    <x v="17"/>
    <s v="Initial Insurance protection"/>
    <s v="Identify and procure insurance coverage for the JV (D&amp;O liability, general liability, professional indemnity, property/equipment insurance for exploration activities)"/>
    <s v="Hassen Moolla"/>
    <x v="3"/>
    <d v="2026-06-10T00:00:00"/>
    <n v="14"/>
    <d v="2026-06-24T00:00:00"/>
    <n v="0"/>
    <n v="0"/>
    <m/>
  </r>
  <r>
    <x v="5"/>
    <x v="17"/>
    <s v="Corporate bank accounts"/>
    <s v="Open bank accounts"/>
    <s v="Marwan Sutan"/>
    <x v="3"/>
    <d v="2026-07-22T00:00:00"/>
    <n v="21"/>
    <d v="2026-08-12T00:00:00"/>
    <n v="0"/>
    <n v="0"/>
    <s v="Requires Commercial Registration (CR), Article of Association (AoA), Board Resolution, Board Bank Delegation of Authority, Bank KYC process → 2-4 weeks typically"/>
  </r>
  <r>
    <x v="5"/>
    <x v="17"/>
    <s v="Bank signatory authorization"/>
    <s v="Register authorized signatories"/>
    <s v="Marwan Sutan"/>
    <x v="3"/>
    <d v="2026-07-22T00:00:00"/>
    <n v="7"/>
    <d v="2026-07-29T00:00:00"/>
    <n v="0"/>
    <n v="0"/>
    <s v="Need GM appointed, "/>
  </r>
  <r>
    <x v="5"/>
    <x v="17"/>
    <s v="Cash call schedule Year 1"/>
    <s v="Define quarterly funding schedule"/>
    <s v="Hassen Moolla"/>
    <x v="3"/>
    <d v="2026-03-15T00:00:00"/>
    <n v="7"/>
    <d v="2026-03-22T00:00:00"/>
    <n v="0"/>
    <n v="0"/>
    <m/>
  </r>
  <r>
    <x v="5"/>
    <x v="17"/>
    <s v="Initial capital contribution"/>
    <s v="Initial cash call from shareholders"/>
    <s v="Mohammed Al-Hamed"/>
    <x v="3"/>
    <d v="2026-08-12T00:00:00"/>
    <n v="14"/>
    <d v="2026-08-26T00:00:00"/>
    <n v="0"/>
    <n v="0"/>
    <s v="not later than 15 business days after the Commencement Date "/>
  </r>
  <r>
    <x v="5"/>
    <x v="18"/>
    <s v="IT Systems requirements"/>
    <s v="Identify all systems needed for JV "/>
    <s v="Ramesh Murugesan"/>
    <x v="1"/>
    <d v="2026-02-17T00:00:00"/>
    <n v="21"/>
    <d v="2026-03-10T00:00:00"/>
    <n v="1"/>
    <n v="1"/>
    <m/>
  </r>
  <r>
    <x v="5"/>
    <x v="18"/>
    <s v="IT Work scope"/>
    <s v="Scoping and requirement documentation"/>
    <s v="Ramesh Murugesan"/>
    <x v="2"/>
    <d v="2026-03-10T00:00:00"/>
    <n v="14"/>
    <d v="2026-03-24T00:00:00"/>
    <n v="0"/>
    <n v="0"/>
    <s v="ERP, Procurement (subsystems) - email sent to Adel as per Ramesh direction"/>
  </r>
  <r>
    <x v="5"/>
    <x v="18"/>
    <s v="Shareholders' IT Alignment "/>
    <s v="Prepare and conduct workshop with Aramco IT to showcase Maaden systems capabilities and agree on IT strategy"/>
    <s v="Ramesh Murugesan"/>
    <x v="3"/>
    <d v="2026-03-24T00:00:00"/>
    <n v="30"/>
    <d v="2026-04-23T00:00:00"/>
    <n v="0"/>
    <n v="0"/>
    <m/>
  </r>
  <r>
    <x v="5"/>
    <x v="18"/>
    <s v="IT systems Implementation"/>
    <s v="Implement systems (configuration, training, testing, deployment)"/>
    <s v="Ramesh Murugesan"/>
    <x v="3"/>
    <d v="2026-03-24T00:00:00"/>
    <n v="90"/>
    <d v="2026-06-22T00:00:00"/>
    <n v="0"/>
    <n v="0"/>
    <m/>
  </r>
  <r>
    <x v="5"/>
    <x v="18"/>
    <s v="IT Access Rights Assigned to JV Users"/>
    <s v="Grant relevant system access to end users"/>
    <s v="Ramesh Murugesan"/>
    <x v="3"/>
    <d v="2026-06-22T00:00:00"/>
    <n v="3"/>
    <d v="2026-06-25T00:00:00"/>
    <n v="0"/>
    <n v="0"/>
    <m/>
  </r>
  <r>
    <x v="5"/>
    <x v="18"/>
    <s v="Chart of Accounts configuration"/>
    <s v="Load CoA in ERP"/>
    <s v="Ramesh Murugesan"/>
    <x v="3"/>
    <d v="2026-06-25T00:00:00"/>
    <n v="7"/>
    <d v="2026-07-02T00:00:00"/>
    <n v="0"/>
    <n v="0"/>
    <m/>
  </r>
  <r>
    <x v="5"/>
    <x v="18"/>
    <s v="JV New IT Systems Subscriptions &amp; Licences"/>
    <s v="Acquire / subscribe to systems needed for JV operations (not available through shareholders) "/>
    <s v="Ramesh Murugesan"/>
    <x v="3"/>
    <d v="2026-03-24T00:00:00"/>
    <n v="60"/>
    <d v="2026-05-23T00:00:00"/>
    <n v="0"/>
    <n v="0"/>
    <m/>
  </r>
  <r>
    <x v="5"/>
    <x v="18"/>
    <s v="IT Systems training"/>
    <s v="Prepare and run training sessions with JV employees on relevant systems and processes"/>
    <s v="Ramesh Murugesan"/>
    <x v="3"/>
    <d v="2026-07-22T00:00:00"/>
    <n v="14"/>
    <d v="2026-08-05T00:00:00"/>
    <n v="0"/>
    <n v="0"/>
    <m/>
  </r>
  <r>
    <x v="5"/>
    <x v="18"/>
    <s v="Cybersecurity training"/>
    <s v="Prepare and run cybersecurity training sessions with day-1 staff"/>
    <s v="Ramesh Murugesan"/>
    <x v="3"/>
    <d v="2026-07-22T00:00:00"/>
    <n v="14"/>
    <d v="2026-08-05T00:00:00"/>
    <n v="0"/>
    <n v="0"/>
    <m/>
  </r>
  <r>
    <x v="5"/>
    <x v="18"/>
    <s v="JV Email &amp; Account Setup"/>
    <s v="Register JV email domain (if any) and create email accounts for Day-1 staff"/>
    <s v="Ramesh Murugesan"/>
    <x v="3"/>
    <d v="2026-07-22T00:00:00"/>
    <n v="7"/>
    <d v="2026-07-29T00:00:00"/>
    <n v="0"/>
    <n v="0"/>
    <s v="Need to confirm if there will be new email domains "/>
  </r>
  <r>
    <x v="5"/>
    <x v="18"/>
    <s v="Laptops/computers "/>
    <s v="Provide laptops and mobile phones for day-1 staff"/>
    <s v="Ramesh Murugesan"/>
    <x v="3"/>
    <d v="2026-05-12T00:00:00"/>
    <n v="60"/>
    <d v="2026-07-11T00:00:00"/>
    <n v="0"/>
    <n v="0"/>
    <m/>
  </r>
  <r>
    <x v="5"/>
    <x v="18"/>
    <s v="Network infrastructure setup"/>
    <s v="Set up network infrastructure and internet (switches, firewall, routers)"/>
    <s v="Ramesh Murugesan"/>
    <x v="3"/>
    <d v="2026-05-12T00:00:00"/>
    <n v="60"/>
    <d v="2026-07-11T00:00:00"/>
    <n v="0"/>
    <n v="0"/>
    <m/>
  </r>
  <r>
    <x v="5"/>
    <x v="18"/>
    <s v="Aramco Data migration plan"/>
    <s v="Manage and oversee data migration plan for all relevant data"/>
    <s v="Ramesh Murugesan"/>
    <x v="3"/>
    <d v="2026-07-22T00:00:00"/>
    <n v="14"/>
    <d v="2026-08-05T00:00:00"/>
    <n v="0"/>
    <n v="0"/>
    <m/>
  </r>
  <r>
    <x v="5"/>
    <x v="19"/>
    <s v="Maaden Contracts Capacity Review"/>
    <s v="Assess the capacity of Maaden's existing contracts against the JV's projected demand, based on the JV Technical Work Program"/>
    <s v="Fathima Mahomed"/>
    <x v="2"/>
    <d v="2026-03-09T00:00:00"/>
    <n v="21"/>
    <d v="2026-03-30T00:00:00"/>
    <n v="4.7619047619047616E-2"/>
    <n v="0"/>
    <s v="2026 technical work program is a prerequisite"/>
  </r>
  <r>
    <x v="5"/>
    <x v="19"/>
    <s v="JV Procurement Plan"/>
    <s v="Develop a Procurement Plan to cover scope not addressed by existing contracts, based on the outcomes of the Contract Capacity Review."/>
    <s v="Fathima Mahomed"/>
    <x v="3"/>
    <d v="2026-03-30T00:00:00"/>
    <n v="21"/>
    <d v="2026-04-20T00:00:00"/>
    <n v="0"/>
    <n v="0"/>
    <s v="A plan on activities- i.e what services/materials etc is required from the operational team - this is a pre-requisite (2026 technical work program )"/>
  </r>
  <r>
    <x v="5"/>
    <x v="19"/>
    <s v="Procurement Demand Assessment"/>
    <s v="Estimate procurement activity volumes and define resource requirements to support JV demand"/>
    <s v="Fathima Mahomed"/>
    <x v="3"/>
    <d v="2026-04-20T00:00:00"/>
    <n v="14"/>
    <d v="2026-05-04T00:00:00"/>
    <n v="0"/>
    <n v="0"/>
    <s v="This will depend on the 2026 technical work program and the estinated procurement budget"/>
  </r>
  <r>
    <x v="5"/>
    <x v="19"/>
    <s v="Procurement Policies"/>
    <s v="Extend Maaden procurement policies to the JV"/>
    <s v="Fathima Mahomed"/>
    <x v="3"/>
    <d v="2026-04-05T00:00:00"/>
    <n v="14"/>
    <d v="2026-04-19T00:00:00"/>
    <n v="0"/>
    <n v="0"/>
    <s v="This is subject to the operating model and the actions following from this - will this be an addendum to  a procedure/policy/document in the JV or will this be an addendum to the Maaden policy /procedure. These decision need to be made by the JV management before this is an action on procurement."/>
  </r>
  <r>
    <x v="5"/>
    <x v="13"/>
    <s v="Determine secondees positions"/>
    <s v="Determine which positions will be filled by secondees"/>
    <s v="Mohammed Al-Hamed"/>
    <x v="2"/>
    <d v="2026-03-04T00:00:00"/>
    <n v="14"/>
    <d v="2026-03-18T00:00:00"/>
    <n v="0.42857142857142855"/>
    <n v="0.5"/>
    <s v="Per org design"/>
  </r>
  <r>
    <x v="5"/>
    <x v="13"/>
    <s v="Secondee nomination and mobilization"/>
    <s v="Obtain nomination from JV GM and mobilize secondees"/>
    <s v="Rene Thumbran"/>
    <x v="3"/>
    <d v="2026-07-22T00:00:00"/>
    <n v="7"/>
    <d v="2026-07-29T00:00:00"/>
    <n v="0"/>
    <n v="0"/>
    <m/>
  </r>
  <r>
    <x v="5"/>
    <x v="13"/>
    <s v="Secondees performance KPIs definition"/>
    <s v="Define main JV secondees performance KPIs "/>
    <s v="Rene Thumbran"/>
    <x v="3"/>
    <d v="2026-03-18T00:00:00"/>
    <n v="14"/>
    <d v="2026-04-01T00:00:00"/>
    <n v="0"/>
    <n v="0"/>
    <m/>
  </r>
  <r>
    <x v="5"/>
    <x v="13"/>
    <s v="HR Policies &amp; Processes Framework and Setup"/>
    <s v="Set up HR processes, policies and systems for JV "/>
    <s v="Rene Thumbran"/>
    <x v="3"/>
    <d v="2026-03-18T00:00:00"/>
    <n v="14"/>
    <d v="2026-04-01T00:00:00"/>
    <n v="0"/>
    <n v="0"/>
    <m/>
  </r>
  <r>
    <x v="5"/>
    <x v="14"/>
    <s v="HSSE Policy &amp; Process Framework"/>
    <s v="Define JV's HSE policies, procedures and systems requirements"/>
    <s v="Faraj Al Dossary"/>
    <x v="2"/>
    <d v="2026-03-09T00:00:00"/>
    <n v="14"/>
    <d v="2026-03-23T00:00:00"/>
    <n v="7.1428571428571425E-2"/>
    <m/>
    <m/>
  </r>
  <r>
    <x v="5"/>
    <x v="14"/>
    <s v="HSSE Policy &amp; Process Setup"/>
    <s v="Set up HSE processes, policies and systems for JV (e.g. incident reporting system)"/>
    <s v="Faraj Al Dossary"/>
    <x v="3"/>
    <d v="2026-05-14T00:00:00"/>
    <n v="14"/>
    <d v="2026-05-28T00:00:00"/>
    <n v="0"/>
    <n v="0"/>
    <m/>
  </r>
  <r>
    <x v="5"/>
    <x v="14"/>
    <s v="Emergency Response Plan"/>
    <s v="Develop emergency response plan"/>
    <s v="Faraj Al Dossary"/>
    <x v="3"/>
    <d v="2026-05-14T00:00:00"/>
    <n v="14"/>
    <d v="2026-05-28T00:00:00"/>
    <n v="0"/>
    <n v="0"/>
    <m/>
  </r>
  <r>
    <x v="5"/>
    <x v="14"/>
    <s v="Field HSSE plan"/>
    <s v="Develop HSSE plan for exploration activities"/>
    <s v="Faraj Al Dossary"/>
    <x v="3"/>
    <d v="2026-05-14T00:00:00"/>
    <n v="14"/>
    <d v="2026-05-28T00:00:00"/>
    <n v="0"/>
    <n v="0"/>
    <m/>
  </r>
  <r>
    <x v="5"/>
    <x v="14"/>
    <s v="PPE procurement request"/>
    <s v="Request  personal protective equipment for relevant day-1 staff"/>
    <s v="Faraj Al Dossary"/>
    <x v="3"/>
    <d v="2026-07-22T00:00:00"/>
    <n v="7"/>
    <d v="2026-07-29T00:00:00"/>
    <n v="0"/>
    <n v="0"/>
    <m/>
  </r>
  <r>
    <x v="5"/>
    <x v="20"/>
    <s v="Stakeholder comms plan"/>
    <s v="Develop external stakeholder communications plan"/>
    <s v="Susan Parker"/>
    <x v="3"/>
    <d v="2026-04-19T00:00:00"/>
    <n v="14"/>
    <d v="2026-05-03T00:00:00"/>
    <n v="0"/>
    <n v="0"/>
    <m/>
  </r>
  <r>
    <x v="5"/>
    <x v="20"/>
    <s v="Press release (Day-1)"/>
    <s v="Prepare and publish press-release for launch announcement"/>
    <s v="Susan Parker"/>
    <x v="3"/>
    <d v="2026-05-07T00:00:00"/>
    <n v="7"/>
    <d v="2026-05-14T00:00:00"/>
    <n v="0"/>
    <n v="0"/>
    <s v="Both approve"/>
  </r>
  <r>
    <x v="5"/>
    <x v="20"/>
    <s v="Government stakeholder briefing"/>
    <s v="Brief key government stakeholders"/>
    <s v="Susan Parker"/>
    <x v="3"/>
    <d v="2026-05-07T00:00:00"/>
    <n v="7"/>
    <d v="2026-05-14T00:00:00"/>
    <n v="0"/>
    <n v="0"/>
    <s v="MIMR, etc."/>
  </r>
  <r>
    <x v="5"/>
    <x v="21"/>
    <s v="JV Office Setup"/>
    <s v="Define permanent HQ location setup plan, and secure physical office space (e.g. sign leasing contract if needed)"/>
    <s v="Raoof Madathil"/>
    <x v="3"/>
    <d v="2026-07-22T00:00:00"/>
    <n v="14"/>
    <d v="2026-08-05T00:00:00"/>
    <n v="0"/>
    <n v="0"/>
    <s v="confirm if required  - only 7 people fully dedicated to J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5AD46D-23E9-495A-A79E-E2DE7C626EEB}"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31" firstHeaderRow="1" firstDataRow="2" firstDataCol="1"/>
  <pivotFields count="12">
    <pivotField axis="axisRow" showAll="0">
      <items count="7">
        <item x="4"/>
        <item x="2"/>
        <item x="5"/>
        <item x="3"/>
        <item x="1"/>
        <item x="0"/>
        <item t="default"/>
      </items>
    </pivotField>
    <pivotField axis="axisRow" showAll="0" sortType="descending">
      <items count="23">
        <item x="1"/>
        <item x="0"/>
        <item x="20"/>
        <item x="7"/>
        <item x="15"/>
        <item x="4"/>
        <item x="8"/>
        <item x="21"/>
        <item x="17"/>
        <item x="9"/>
        <item x="12"/>
        <item x="3"/>
        <item x="13"/>
        <item x="14"/>
        <item x="18"/>
        <item x="10"/>
        <item x="16"/>
        <item x="11"/>
        <item x="19"/>
        <item x="5"/>
        <item x="6"/>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axis="axisCol" showAll="0">
      <items count="6">
        <item x="3"/>
        <item x="2"/>
        <item x="1"/>
        <item h="1" x="0"/>
        <item x="4"/>
        <item t="default"/>
      </items>
    </pivotField>
    <pivotField numFmtId="16" showAll="0"/>
    <pivotField numFmtId="1" showAll="0"/>
    <pivotField numFmtId="16" showAll="0"/>
    <pivotField showAll="0"/>
    <pivotField showAll="0"/>
    <pivotField showAll="0"/>
  </pivotFields>
  <rowFields count="2">
    <field x="0"/>
    <field x="1"/>
  </rowFields>
  <rowItems count="27">
    <i>
      <x/>
    </i>
    <i r="1">
      <x v="9"/>
    </i>
    <i>
      <x v="1"/>
    </i>
    <i r="1">
      <x v="9"/>
    </i>
    <i r="1">
      <x v="15"/>
    </i>
    <i>
      <x v="2"/>
    </i>
    <i r="1">
      <x v="14"/>
    </i>
    <i r="1">
      <x v="8"/>
    </i>
    <i r="1">
      <x v="13"/>
    </i>
    <i r="1">
      <x v="18"/>
    </i>
    <i r="1">
      <x v="12"/>
    </i>
    <i r="1">
      <x v="2"/>
    </i>
    <i r="1">
      <x v="7"/>
    </i>
    <i>
      <x v="3"/>
    </i>
    <i r="1">
      <x v="10"/>
    </i>
    <i r="1">
      <x v="15"/>
    </i>
    <i r="1">
      <x v="12"/>
    </i>
    <i r="1">
      <x v="13"/>
    </i>
    <i>
      <x v="4"/>
    </i>
    <i r="1">
      <x/>
    </i>
    <i r="1">
      <x v="3"/>
    </i>
    <i r="1">
      <x v="20"/>
    </i>
    <i r="1">
      <x v="21"/>
    </i>
    <i r="1">
      <x v="11"/>
    </i>
    <i r="1">
      <x v="19"/>
    </i>
    <i r="1">
      <x v="5"/>
    </i>
    <i t="grand">
      <x/>
    </i>
  </rowItems>
  <colFields count="1">
    <field x="5"/>
  </colFields>
  <colItems count="5">
    <i>
      <x/>
    </i>
    <i>
      <x v="1"/>
    </i>
    <i>
      <x v="2"/>
    </i>
    <i>
      <x v="4"/>
    </i>
    <i t="grand">
      <x/>
    </i>
  </colItems>
  <dataFields count="1">
    <dataField name="Count of Ac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B117D-3227-433F-93D7-33FBF641A773}">
  <dimension ref="B3:P30"/>
  <sheetViews>
    <sheetView showGridLines="0" zoomScale="70" zoomScaleNormal="70" workbookViewId="0">
      <selection activeCell="D21" sqref="D21"/>
    </sheetView>
  </sheetViews>
  <sheetFormatPr defaultRowHeight="14.5" x14ac:dyDescent="0.35"/>
  <cols>
    <col min="2" max="2" width="5.81640625" customWidth="1"/>
    <col min="3" max="3" width="17.81640625" bestFit="1" customWidth="1"/>
    <col min="4" max="4" width="112.1796875" customWidth="1"/>
  </cols>
  <sheetData>
    <row r="3" spans="2:12" ht="23.5" x14ac:dyDescent="0.55000000000000004">
      <c r="B3" s="6"/>
      <c r="C3" s="6"/>
      <c r="D3" s="6"/>
      <c r="E3" s="6"/>
      <c r="F3" s="6"/>
      <c r="G3" s="6"/>
      <c r="H3" s="6"/>
      <c r="I3" s="6"/>
      <c r="J3" s="6"/>
      <c r="K3" s="6"/>
      <c r="L3" s="6"/>
    </row>
    <row r="4" spans="2:12" ht="36.75" customHeight="1" x14ac:dyDescent="0.55000000000000004">
      <c r="B4" s="6"/>
      <c r="C4" s="6"/>
      <c r="D4" s="6"/>
      <c r="E4" s="6"/>
      <c r="F4" s="6"/>
      <c r="G4" s="6"/>
      <c r="H4" s="6"/>
      <c r="I4" s="6"/>
      <c r="J4" s="6"/>
      <c r="K4" s="6"/>
      <c r="L4" s="6"/>
    </row>
    <row r="5" spans="2:12" ht="30.4" customHeight="1" x14ac:dyDescent="0.55000000000000004">
      <c r="B5" s="6"/>
      <c r="C5" s="6"/>
      <c r="D5" s="6"/>
      <c r="E5" s="6"/>
      <c r="F5" s="6"/>
      <c r="G5" s="6"/>
      <c r="H5" s="6"/>
      <c r="I5" s="6"/>
      <c r="J5" s="6"/>
      <c r="K5" s="6"/>
      <c r="L5" s="6"/>
    </row>
    <row r="6" spans="2:12" ht="40" x14ac:dyDescent="1.5">
      <c r="B6" s="6"/>
      <c r="C6" s="7"/>
      <c r="D6" s="7"/>
      <c r="E6" s="6"/>
      <c r="F6" s="6"/>
      <c r="G6" s="6"/>
      <c r="H6" s="6"/>
      <c r="I6" s="6"/>
      <c r="J6" s="6"/>
      <c r="K6" s="6"/>
      <c r="L6" s="6"/>
    </row>
    <row r="7" spans="2:12" ht="40.5" x14ac:dyDescent="1.55">
      <c r="B7" s="6"/>
      <c r="C7" s="8" t="s">
        <v>0</v>
      </c>
      <c r="D7" s="7" t="s">
        <v>1</v>
      </c>
      <c r="E7" s="6"/>
      <c r="F7" s="6"/>
      <c r="G7" s="6"/>
      <c r="H7" s="6"/>
      <c r="I7" s="6"/>
      <c r="J7" s="6"/>
      <c r="K7" s="6"/>
      <c r="L7" s="6"/>
    </row>
    <row r="8" spans="2:12" ht="40" x14ac:dyDescent="1.5">
      <c r="B8" s="6"/>
      <c r="C8" s="7"/>
      <c r="D8" s="7"/>
      <c r="E8" s="6"/>
      <c r="F8" s="6"/>
      <c r="G8" s="6"/>
      <c r="H8" s="6"/>
      <c r="I8" s="6"/>
      <c r="J8" s="6"/>
      <c r="K8" s="6"/>
      <c r="L8" s="6"/>
    </row>
    <row r="9" spans="2:12" ht="40.5" x14ac:dyDescent="1.5">
      <c r="B9" s="6"/>
      <c r="C9" s="9" t="s">
        <v>2</v>
      </c>
      <c r="D9" s="7" t="s">
        <v>3</v>
      </c>
      <c r="E9" s="6"/>
      <c r="F9" s="6"/>
      <c r="G9" s="6"/>
      <c r="H9" s="6"/>
      <c r="I9" s="6"/>
      <c r="J9" s="6"/>
      <c r="K9" s="6"/>
      <c r="L9" s="6"/>
    </row>
    <row r="10" spans="2:12" ht="40" x14ac:dyDescent="1.5">
      <c r="B10" s="6"/>
      <c r="C10" s="7"/>
      <c r="D10" s="7"/>
      <c r="E10" s="6"/>
      <c r="F10" s="6"/>
      <c r="G10" s="6"/>
      <c r="H10" s="6"/>
      <c r="I10" s="6"/>
      <c r="J10" s="6"/>
      <c r="K10" s="6"/>
      <c r="L10" s="6"/>
    </row>
    <row r="11" spans="2:12" ht="40.5" x14ac:dyDescent="1.55">
      <c r="B11" s="6"/>
      <c r="C11" s="8" t="s">
        <v>4</v>
      </c>
      <c r="D11" s="10">
        <f ca="1">TODAY()</f>
        <v>46091</v>
      </c>
      <c r="E11" s="6"/>
      <c r="F11" s="6"/>
      <c r="G11" s="6"/>
      <c r="H11" s="6"/>
      <c r="I11" s="6"/>
      <c r="J11" s="6"/>
      <c r="K11" s="6"/>
      <c r="L11" s="6"/>
    </row>
    <row r="12" spans="2:12" ht="23.5" x14ac:dyDescent="0.55000000000000004">
      <c r="B12" s="6"/>
      <c r="C12" s="6"/>
      <c r="D12" s="6"/>
      <c r="E12" s="6"/>
      <c r="F12" s="6"/>
      <c r="G12" s="6"/>
      <c r="H12" s="6"/>
      <c r="I12" s="6"/>
      <c r="J12" s="6"/>
      <c r="K12" s="6"/>
      <c r="L12" s="6"/>
    </row>
    <row r="30" spans="16:16" x14ac:dyDescent="0.35">
      <c r="P30" s="1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1C23D-AA61-44B6-B1D4-141588E7DA10}">
  <dimension ref="B2:O123"/>
  <sheetViews>
    <sheetView showGridLines="0" zoomScale="80" zoomScaleNormal="80" workbookViewId="0">
      <selection activeCell="A3" sqref="A3"/>
    </sheetView>
  </sheetViews>
  <sheetFormatPr defaultRowHeight="14.5" x14ac:dyDescent="0.35"/>
  <cols>
    <col min="1" max="1" width="3" customWidth="1"/>
    <col min="2" max="2" width="32.1796875" customWidth="1"/>
    <col min="3" max="3" width="10.81640625" customWidth="1"/>
    <col min="4" max="4" width="8.90625" bestFit="1" customWidth="1"/>
    <col min="5" max="8" width="10.81640625" customWidth="1"/>
    <col min="9" max="9" width="29.36328125" customWidth="1"/>
    <col min="10" max="11" width="10.81640625" style="4" customWidth="1"/>
    <col min="12" max="12" width="8.90625" bestFit="1" customWidth="1"/>
    <col min="13" max="13" width="10.81640625" style="4" customWidth="1"/>
    <col min="14" max="15" width="10.81640625" customWidth="1"/>
    <col min="16384" max="16384" width="8.90625" bestFit="1" customWidth="1"/>
  </cols>
  <sheetData>
    <row r="2" spans="2:15" ht="26" x14ac:dyDescent="1.05">
      <c r="B2" s="73" t="s">
        <v>5</v>
      </c>
      <c r="C2" s="74">
        <f>SUM(C4:C26)</f>
        <v>38</v>
      </c>
      <c r="E2" s="77">
        <f>SUM(E4:E26)</f>
        <v>14</v>
      </c>
      <c r="F2" s="77">
        <f>SUM(F4:F26)</f>
        <v>23</v>
      </c>
      <c r="G2" s="77">
        <f>SUM(G4:G26)</f>
        <v>1</v>
      </c>
      <c r="H2" s="102"/>
      <c r="I2" s="73" t="s">
        <v>287</v>
      </c>
      <c r="J2" s="74">
        <f>SUM(J4:J20)</f>
        <v>105</v>
      </c>
      <c r="K2" s="77">
        <f>SUM(K4:K20)</f>
        <v>81</v>
      </c>
      <c r="M2" s="77">
        <f t="shared" ref="M2:N2" si="0">SUM(M4:M20)</f>
        <v>23</v>
      </c>
      <c r="N2" s="77">
        <f t="shared" si="0"/>
        <v>1</v>
      </c>
      <c r="O2" s="102"/>
    </row>
    <row r="3" spans="2:15" ht="26" x14ac:dyDescent="1.05">
      <c r="B3" s="75" t="s">
        <v>6</v>
      </c>
      <c r="C3" s="76" t="s">
        <v>7</v>
      </c>
      <c r="E3" s="70" t="s">
        <v>10</v>
      </c>
      <c r="F3" s="69" t="s">
        <v>9</v>
      </c>
      <c r="G3" s="71" t="s">
        <v>11</v>
      </c>
      <c r="H3" s="101"/>
      <c r="I3" s="75" t="s">
        <v>12</v>
      </c>
      <c r="J3" s="76" t="s">
        <v>7</v>
      </c>
      <c r="K3" s="68" t="s">
        <v>8</v>
      </c>
      <c r="M3" s="69" t="s">
        <v>9</v>
      </c>
      <c r="N3" s="71" t="s">
        <v>11</v>
      </c>
      <c r="O3" s="101"/>
    </row>
    <row r="4" spans="2:15" s="43" customFormat="1" ht="21" customHeight="1" x14ac:dyDescent="0.35">
      <c r="B4" s="72" t="s">
        <v>16</v>
      </c>
      <c r="C4" s="78">
        <f>SUM(D4:G4)</f>
        <v>9</v>
      </c>
      <c r="E4" s="79">
        <f>(COUNTIFS('JV Readiness Plan'!$E:$E,$B4,'JV Readiness Plan'!$F:$F,E$3))</f>
        <v>3</v>
      </c>
      <c r="F4" s="79">
        <f>(COUNTIFS('JV Readiness Plan'!$E:$E,$B4,'JV Readiness Plan'!$F:$F,F$3))</f>
        <v>5</v>
      </c>
      <c r="G4" s="79">
        <f>(COUNTIFS('JV Readiness Plan'!$E:$E,$B4,'JV Readiness Plan'!$F:$F,G$3))</f>
        <v>1</v>
      </c>
      <c r="H4" s="44"/>
      <c r="I4" s="72" t="s">
        <v>49</v>
      </c>
      <c r="J4" s="78">
        <f>SUM(K4:N4)</f>
        <v>6</v>
      </c>
      <c r="K4" s="79">
        <f>(COUNTIFS('JV Readiness Plan'!$B:$B,$I4,'JV Readiness Plan'!$F:$F,K$3))</f>
        <v>4</v>
      </c>
      <c r="M4" s="79">
        <f>(COUNTIFS('JV Readiness Plan'!$B:$B,$I4,'JV Readiness Plan'!$F:$F,M$3))</f>
        <v>2</v>
      </c>
      <c r="N4" s="79">
        <f>(COUNTIFS('JV Readiness Plan'!$B:$B,$I4,'JV Readiness Plan'!$F:$F,N$3))</f>
        <v>0</v>
      </c>
      <c r="O4" s="44"/>
    </row>
    <row r="5" spans="2:15" s="43" customFormat="1" ht="21" customHeight="1" x14ac:dyDescent="0.35">
      <c r="B5" s="83" t="s">
        <v>290</v>
      </c>
      <c r="C5" s="78">
        <f>SUM(D5:G5)</f>
        <v>10</v>
      </c>
      <c r="E5" s="84">
        <f>(COUNTIFS('JV Readiness Plan'!$E:$E,$B5,'JV Readiness Plan'!$F:$F,E$3))</f>
        <v>5</v>
      </c>
      <c r="F5" s="84">
        <f>(COUNTIFS('JV Readiness Plan'!$E:$E,$B5,'JV Readiness Plan'!$F:$F,F$3))</f>
        <v>5</v>
      </c>
      <c r="G5" s="84">
        <f>(COUNTIFS('JV Readiness Plan'!$E:$E,$B5,'JV Readiness Plan'!$F:$F,G$3))</f>
        <v>0</v>
      </c>
      <c r="H5" s="44"/>
      <c r="I5" s="72" t="s">
        <v>62</v>
      </c>
      <c r="J5" s="78">
        <f>SUM(K5:N5)</f>
        <v>4</v>
      </c>
      <c r="K5" s="79">
        <f>(COUNTIFS('JV Readiness Plan'!$B:$B,$I5,'JV Readiness Plan'!$F:$F,K$3))</f>
        <v>1</v>
      </c>
      <c r="M5" s="79">
        <f>(COUNTIFS('JV Readiness Plan'!$B:$B,$I5,'JV Readiness Plan'!$F:$F,M$3))</f>
        <v>3</v>
      </c>
      <c r="N5" s="79">
        <f>(COUNTIFS('JV Readiness Plan'!$B:$B,$I5,'JV Readiness Plan'!$F:$F,N$3))</f>
        <v>0</v>
      </c>
      <c r="O5" s="44"/>
    </row>
    <row r="6" spans="2:15" s="43" customFormat="1" ht="21" customHeight="1" x14ac:dyDescent="0.35">
      <c r="B6" s="72" t="s">
        <v>18</v>
      </c>
      <c r="C6" s="78">
        <f>SUM(D6:G6)</f>
        <v>2</v>
      </c>
      <c r="E6" s="79">
        <f>(COUNTIFS('JV Readiness Plan'!$E:$E,$B6,'JV Readiness Plan'!$F:$F,E$3))</f>
        <v>1</v>
      </c>
      <c r="F6" s="79">
        <f>(COUNTIFS('JV Readiness Plan'!$E:$E,$B6,'JV Readiness Plan'!$F:$F,F$3))</f>
        <v>1</v>
      </c>
      <c r="G6" s="79">
        <f>(COUNTIFS('JV Readiness Plan'!$E:$E,$B6,'JV Readiness Plan'!$F:$F,G$3))</f>
        <v>0</v>
      </c>
      <c r="H6" s="44"/>
      <c r="I6" s="72" t="s">
        <v>69</v>
      </c>
      <c r="J6" s="78">
        <f>SUM(K6:N6)</f>
        <v>6</v>
      </c>
      <c r="K6" s="79">
        <f>(COUNTIFS('JV Readiness Plan'!$B:$B,$I6,'JV Readiness Plan'!$F:$F,K$3))</f>
        <v>2</v>
      </c>
      <c r="M6" s="79">
        <f>(COUNTIFS('JV Readiness Plan'!$B:$B,$I6,'JV Readiness Plan'!$F:$F,M$3))</f>
        <v>3</v>
      </c>
      <c r="N6" s="79">
        <f>(COUNTIFS('JV Readiness Plan'!$B:$B,$I6,'JV Readiness Plan'!$F:$F,N$3))</f>
        <v>1</v>
      </c>
      <c r="O6" s="44"/>
    </row>
    <row r="7" spans="2:15" s="43" customFormat="1" ht="21" customHeight="1" x14ac:dyDescent="0.35">
      <c r="B7" s="83" t="s">
        <v>20</v>
      </c>
      <c r="C7" s="78">
        <f>SUM(D7:G7)</f>
        <v>1</v>
      </c>
      <c r="E7" s="84">
        <f>(COUNTIFS('JV Readiness Plan'!$E:$E,$B7,'JV Readiness Plan'!$F:$F,E$3))</f>
        <v>1</v>
      </c>
      <c r="F7" s="84">
        <f>(COUNTIFS('JV Readiness Plan'!$E:$E,$B7,'JV Readiness Plan'!$F:$F,F$3))</f>
        <v>0</v>
      </c>
      <c r="G7" s="84">
        <f>(COUNTIFS('JV Readiness Plan'!$E:$E,$B7,'JV Readiness Plan'!$F:$F,G$3))</f>
        <v>0</v>
      </c>
      <c r="H7" s="44"/>
      <c r="I7" s="72" t="s">
        <v>74</v>
      </c>
      <c r="J7" s="78">
        <f>SUM(K7:N7)</f>
        <v>2</v>
      </c>
      <c r="K7" s="79">
        <f>(COUNTIFS('JV Readiness Plan'!$B:$B,$I7,'JV Readiness Plan'!$F:$F,K$3))</f>
        <v>1</v>
      </c>
      <c r="M7" s="79">
        <f>(COUNTIFS('JV Readiness Plan'!$B:$B,$I7,'JV Readiness Plan'!$F:$F,M$3))</f>
        <v>1</v>
      </c>
      <c r="N7" s="79">
        <f>(COUNTIFS('JV Readiness Plan'!$B:$B,$I7,'JV Readiness Plan'!$F:$F,N$3))</f>
        <v>0</v>
      </c>
      <c r="O7" s="44"/>
    </row>
    <row r="8" spans="2:15" s="43" customFormat="1" ht="21" customHeight="1" x14ac:dyDescent="0.35">
      <c r="B8" s="72" t="s">
        <v>279</v>
      </c>
      <c r="C8" s="78">
        <f>SUM(D8:G8)</f>
        <v>3</v>
      </c>
      <c r="E8" s="79">
        <f>(COUNTIFS('JV Readiness Plan'!$E:$E,$B8,'JV Readiness Plan'!$F:$F,E$3))</f>
        <v>0</v>
      </c>
      <c r="F8" s="79">
        <f>(COUNTIFS('JV Readiness Plan'!$E:$E,$B8,'JV Readiness Plan'!$F:$F,F$3))</f>
        <v>3</v>
      </c>
      <c r="G8" s="79">
        <f>(COUNTIFS('JV Readiness Plan'!$E:$E,$B8,'JV Readiness Plan'!$F:$F,G$3))</f>
        <v>0</v>
      </c>
      <c r="H8" s="44"/>
      <c r="I8" s="72" t="s">
        <v>78</v>
      </c>
      <c r="J8" s="78">
        <f>SUM(K8:N8)</f>
        <v>4</v>
      </c>
      <c r="K8" s="79">
        <f>(COUNTIFS('JV Readiness Plan'!$B:$B,$I8,'JV Readiness Plan'!$F:$F,K$3))</f>
        <v>2</v>
      </c>
      <c r="M8" s="79">
        <f>(COUNTIFS('JV Readiness Plan'!$B:$B,$I8,'JV Readiness Plan'!$F:$F,M$3))</f>
        <v>2</v>
      </c>
      <c r="N8" s="79">
        <f>(COUNTIFS('JV Readiness Plan'!$B:$B,$I8,'JV Readiness Plan'!$F:$F,N$3))</f>
        <v>0</v>
      </c>
      <c r="O8" s="44"/>
    </row>
    <row r="9" spans="2:15" s="43" customFormat="1" ht="21" customHeight="1" x14ac:dyDescent="0.35">
      <c r="B9" s="83" t="s">
        <v>26</v>
      </c>
      <c r="C9" s="78">
        <f>SUM(D9:G9)</f>
        <v>2</v>
      </c>
      <c r="E9" s="84">
        <f>(COUNTIFS('JV Readiness Plan'!$E:$E,$B9,'JV Readiness Plan'!$F:$F,E$3))</f>
        <v>0</v>
      </c>
      <c r="F9" s="84">
        <f>(COUNTIFS('JV Readiness Plan'!$E:$E,$B9,'JV Readiness Plan'!$F:$F,F$3))</f>
        <v>2</v>
      </c>
      <c r="G9" s="84">
        <f>(COUNTIFS('JV Readiness Plan'!$E:$E,$B9,'JV Readiness Plan'!$F:$F,G$3))</f>
        <v>0</v>
      </c>
      <c r="H9" s="44"/>
      <c r="I9" s="72" t="s">
        <v>84</v>
      </c>
      <c r="J9" s="78">
        <f>SUM(K9:N9)</f>
        <v>8</v>
      </c>
      <c r="K9" s="79">
        <f>(COUNTIFS('JV Readiness Plan'!$B:$B,$I9,'JV Readiness Plan'!$F:$F,K$3))</f>
        <v>2</v>
      </c>
      <c r="M9" s="79">
        <f>(COUNTIFS('JV Readiness Plan'!$B:$B,$I9,'JV Readiness Plan'!$F:$F,M$3))</f>
        <v>6</v>
      </c>
      <c r="N9" s="79">
        <f>(COUNTIFS('JV Readiness Plan'!$B:$B,$I9,'JV Readiness Plan'!$F:$F,N$3))</f>
        <v>0</v>
      </c>
      <c r="O9" s="44"/>
    </row>
    <row r="10" spans="2:15" s="43" customFormat="1" ht="21" customHeight="1" x14ac:dyDescent="0.35">
      <c r="B10" s="72" t="s">
        <v>288</v>
      </c>
      <c r="C10" s="78">
        <f>SUM(D10:G10)</f>
        <v>3</v>
      </c>
      <c r="E10" s="79">
        <f>(COUNTIFS('JV Readiness Plan'!$E:$E,$B10,'JV Readiness Plan'!$F:$F,E$3))</f>
        <v>1</v>
      </c>
      <c r="F10" s="79">
        <f>(COUNTIFS('JV Readiness Plan'!$E:$E,$B10,'JV Readiness Plan'!$F:$F,F$3))</f>
        <v>2</v>
      </c>
      <c r="G10" s="79">
        <f>(COUNTIFS('JV Readiness Plan'!$E:$E,$B10,'JV Readiness Plan'!$F:$F,G$3))</f>
        <v>0</v>
      </c>
      <c r="H10" s="44"/>
      <c r="I10" s="72" t="s">
        <v>90</v>
      </c>
      <c r="J10" s="78">
        <f>SUM(K10:N10)</f>
        <v>4</v>
      </c>
      <c r="K10" s="79">
        <f>(COUNTIFS('JV Readiness Plan'!$B:$B,$I10,'JV Readiness Plan'!$F:$F,K$3))</f>
        <v>2</v>
      </c>
      <c r="M10" s="79">
        <f>(COUNTIFS('JV Readiness Plan'!$B:$B,$I10,'JV Readiness Plan'!$F:$F,M$3))</f>
        <v>2</v>
      </c>
      <c r="N10" s="79">
        <f>(COUNTIFS('JV Readiness Plan'!$B:$B,$I10,'JV Readiness Plan'!$F:$F,N$3))</f>
        <v>0</v>
      </c>
      <c r="O10" s="44"/>
    </row>
    <row r="11" spans="2:15" s="43" customFormat="1" ht="21" customHeight="1" x14ac:dyDescent="0.35">
      <c r="B11" s="83" t="s">
        <v>278</v>
      </c>
      <c r="C11" s="78">
        <f>SUM(D11:G11)</f>
        <v>2</v>
      </c>
      <c r="E11" s="84">
        <f>(COUNTIFS('JV Readiness Plan'!$E:$E,$B11,'JV Readiness Plan'!$F:$F,E$3))</f>
        <v>1</v>
      </c>
      <c r="F11" s="84">
        <f>(COUNTIFS('JV Readiness Plan'!$E:$E,$B11,'JV Readiness Plan'!$F:$F,F$3))</f>
        <v>1</v>
      </c>
      <c r="G11" s="84">
        <f>(COUNTIFS('JV Readiness Plan'!$E:$E,$B11,'JV Readiness Plan'!$F:$F,G$3))</f>
        <v>0</v>
      </c>
      <c r="H11" s="44"/>
      <c r="I11" s="72" t="s">
        <v>17</v>
      </c>
      <c r="J11" s="78">
        <f>SUM(K11:N11)</f>
        <v>19</v>
      </c>
      <c r="K11" s="79">
        <f>(COUNTIFS('JV Readiness Plan'!$B:$B,$I11,'JV Readiness Plan'!$F:$F,K$3))</f>
        <v>19</v>
      </c>
      <c r="M11" s="79">
        <f>(COUNTIFS('JV Readiness Plan'!$B:$B,$I11,'JV Readiness Plan'!$F:$F,M$3))</f>
        <v>0</v>
      </c>
      <c r="N11" s="79">
        <f>(COUNTIFS('JV Readiness Plan'!$B:$B,$I11,'JV Readiness Plan'!$F:$F,N$3))</f>
        <v>0</v>
      </c>
      <c r="O11" s="44"/>
    </row>
    <row r="12" spans="2:15" s="43" customFormat="1" ht="21" customHeight="1" x14ac:dyDescent="0.35">
      <c r="B12" s="72" t="s">
        <v>24</v>
      </c>
      <c r="C12" s="78">
        <f>SUM(D12:G12)</f>
        <v>1</v>
      </c>
      <c r="E12" s="79">
        <f>(COUNTIFS('JV Readiness Plan'!$E:$E,$B12,'JV Readiness Plan'!$F:$F,E$3))</f>
        <v>0</v>
      </c>
      <c r="F12" s="79">
        <f>(COUNTIFS('JV Readiness Plan'!$E:$E,$B12,'JV Readiness Plan'!$F:$F,F$3))</f>
        <v>1</v>
      </c>
      <c r="G12" s="79">
        <f>(COUNTIFS('JV Readiness Plan'!$E:$E,$B12,'JV Readiness Plan'!$F:$F,G$3))</f>
        <v>0</v>
      </c>
      <c r="H12" s="44"/>
      <c r="I12" s="72" t="s">
        <v>15</v>
      </c>
      <c r="J12" s="78">
        <f>SUM(K12:N12)</f>
        <v>6</v>
      </c>
      <c r="K12" s="79">
        <f>(COUNTIFS('JV Readiness Plan'!$B:$B,$I12,'JV Readiness Plan'!$F:$F,K$3))</f>
        <v>6</v>
      </c>
      <c r="M12" s="79">
        <f>(COUNTIFS('JV Readiness Plan'!$B:$B,$I12,'JV Readiness Plan'!$F:$F,M$3))</f>
        <v>0</v>
      </c>
      <c r="N12" s="79">
        <f>(COUNTIFS('JV Readiness Plan'!$B:$B,$I12,'JV Readiness Plan'!$F:$F,N$3))</f>
        <v>0</v>
      </c>
      <c r="O12" s="44"/>
    </row>
    <row r="13" spans="2:15" s="43" customFormat="1" ht="21" customHeight="1" x14ac:dyDescent="0.35">
      <c r="B13" s="72" t="s">
        <v>273</v>
      </c>
      <c r="C13" s="78">
        <f>SUM(D13:G13)</f>
        <v>0</v>
      </c>
      <c r="E13" s="79">
        <f>(COUNTIFS('JV Readiness Plan'!$E:$E,$B13,'JV Readiness Plan'!$F:$F,E$3))</f>
        <v>0</v>
      </c>
      <c r="F13" s="79">
        <f>(COUNTIFS('JV Readiness Plan'!$E:$E,$B13,'JV Readiness Plan'!$F:$F,F$3))</f>
        <v>0</v>
      </c>
      <c r="G13" s="79">
        <f>(COUNTIFS('JV Readiness Plan'!$E:$E,$B13,'JV Readiness Plan'!$F:$F,G$3))</f>
        <v>0</v>
      </c>
      <c r="H13" s="44"/>
      <c r="I13" s="72" t="s">
        <v>214</v>
      </c>
      <c r="J13" s="78">
        <f>SUM(K13:N13)</f>
        <v>4</v>
      </c>
      <c r="K13" s="79">
        <f>(COUNTIFS('JV Readiness Plan'!$B:$B,$I13,'JV Readiness Plan'!$F:$F,K$3))</f>
        <v>4</v>
      </c>
      <c r="M13" s="79">
        <f>(COUNTIFS('JV Readiness Plan'!$B:$B,$I13,'JV Readiness Plan'!$F:$F,M$3))</f>
        <v>0</v>
      </c>
      <c r="N13" s="79">
        <f>(COUNTIFS('JV Readiness Plan'!$B:$B,$I13,'JV Readiness Plan'!$F:$F,N$3))</f>
        <v>0</v>
      </c>
      <c r="O13" s="44"/>
    </row>
    <row r="14" spans="2:15" s="43" customFormat="1" ht="21" customHeight="1" x14ac:dyDescent="0.35">
      <c r="B14" s="83" t="s">
        <v>36</v>
      </c>
      <c r="C14" s="78">
        <f>SUM(D14:G14)</f>
        <v>1</v>
      </c>
      <c r="E14" s="84">
        <f>(COUNTIFS('JV Readiness Plan'!$E:$E,$B14,'JV Readiness Plan'!$F:$F,E$3))</f>
        <v>0</v>
      </c>
      <c r="F14" s="84">
        <f>(COUNTIFS('JV Readiness Plan'!$E:$E,$B14,'JV Readiness Plan'!$F:$F,F$3))</f>
        <v>1</v>
      </c>
      <c r="G14" s="84">
        <f>(COUNTIFS('JV Readiness Plan'!$E:$E,$B14,'JV Readiness Plan'!$F:$F,G$3))</f>
        <v>0</v>
      </c>
      <c r="H14" s="44"/>
      <c r="I14" s="72" t="s">
        <v>23</v>
      </c>
      <c r="J14" s="78">
        <f>SUM(K14:N14)</f>
        <v>6</v>
      </c>
      <c r="K14" s="79">
        <f>(COUNTIFS('JV Readiness Plan'!$B:$B,$I14,'JV Readiness Plan'!$F:$F,K$3))</f>
        <v>5</v>
      </c>
      <c r="M14" s="79">
        <f>(COUNTIFS('JV Readiness Plan'!$B:$B,$I14,'JV Readiness Plan'!$F:$F,M$3))</f>
        <v>1</v>
      </c>
      <c r="N14" s="79">
        <f>(COUNTIFS('JV Readiness Plan'!$B:$B,$I14,'JV Readiness Plan'!$F:$F,N$3))</f>
        <v>0</v>
      </c>
      <c r="O14" s="44"/>
    </row>
    <row r="15" spans="2:15" s="43" customFormat="1" ht="21" customHeight="1" x14ac:dyDescent="0.35">
      <c r="B15" s="72" t="s">
        <v>370</v>
      </c>
      <c r="C15" s="78">
        <f>SUM(D15:G15)</f>
        <v>0</v>
      </c>
      <c r="E15" s="79">
        <f>(COUNTIFS('JV Readiness Plan'!$E:$E,$B15,'JV Readiness Plan'!$F:$F,E$3))</f>
        <v>0</v>
      </c>
      <c r="F15" s="79">
        <f>(COUNTIFS('JV Readiness Plan'!$E:$E,$B15,'JV Readiness Plan'!$F:$F,F$3))</f>
        <v>0</v>
      </c>
      <c r="G15" s="79">
        <f>(COUNTIFS('JV Readiness Plan'!$E:$E,$B15,'JV Readiness Plan'!$F:$F,G$3))</f>
        <v>0</v>
      </c>
      <c r="H15" s="44"/>
      <c r="I15" s="72" t="s">
        <v>25</v>
      </c>
      <c r="J15" s="78">
        <f>SUM(K15:N15)</f>
        <v>6</v>
      </c>
      <c r="K15" s="79">
        <f>(COUNTIFS('JV Readiness Plan'!$B:$B,$I15,'JV Readiness Plan'!$F:$F,K$3))</f>
        <v>5</v>
      </c>
      <c r="M15" s="79">
        <f>(COUNTIFS('JV Readiness Plan'!$B:$B,$I15,'JV Readiness Plan'!$F:$F,M$3))</f>
        <v>1</v>
      </c>
      <c r="N15" s="79">
        <f>(COUNTIFS('JV Readiness Plan'!$B:$B,$I15,'JV Readiness Plan'!$F:$F,N$3))</f>
        <v>0</v>
      </c>
      <c r="O15" s="44"/>
    </row>
    <row r="16" spans="2:15" s="43" customFormat="1" ht="21" customHeight="1" x14ac:dyDescent="0.35">
      <c r="B16" s="72" t="s">
        <v>29</v>
      </c>
      <c r="C16" s="78">
        <f>SUM(D16:G16)</f>
        <v>0</v>
      </c>
      <c r="E16" s="79">
        <f>(COUNTIFS('JV Readiness Plan'!$E:$E,$B16,'JV Readiness Plan'!$F:$F,E$3))</f>
        <v>0</v>
      </c>
      <c r="F16" s="79">
        <f>(COUNTIFS('JV Readiness Plan'!$E:$E,$B16,'JV Readiness Plan'!$F:$F,F$3))</f>
        <v>0</v>
      </c>
      <c r="G16" s="79">
        <f>(COUNTIFS('JV Readiness Plan'!$E:$E,$B16,'JV Readiness Plan'!$F:$F,G$3))</f>
        <v>0</v>
      </c>
      <c r="H16" s="44"/>
      <c r="I16" s="72" t="s">
        <v>19</v>
      </c>
      <c r="J16" s="78">
        <f>SUM(K16:N16)</f>
        <v>10</v>
      </c>
      <c r="K16" s="79">
        <f>(COUNTIFS('JV Readiness Plan'!$B:$B,$I16,'JV Readiness Plan'!$F:$F,K$3))</f>
        <v>10</v>
      </c>
      <c r="M16" s="79">
        <f>(COUNTIFS('JV Readiness Plan'!$B:$B,$I16,'JV Readiness Plan'!$F:$F,M$3))</f>
        <v>0</v>
      </c>
      <c r="N16" s="79">
        <f>(COUNTIFS('JV Readiness Plan'!$B:$B,$I16,'JV Readiness Plan'!$F:$F,N$3))</f>
        <v>0</v>
      </c>
      <c r="O16" s="44"/>
    </row>
    <row r="17" spans="2:15" s="43" customFormat="1" ht="21" customHeight="1" x14ac:dyDescent="0.35">
      <c r="B17" s="83" t="s">
        <v>30</v>
      </c>
      <c r="C17" s="78">
        <f>SUM(D17:G17)</f>
        <v>2</v>
      </c>
      <c r="E17" s="84">
        <f>(COUNTIFS('JV Readiness Plan'!$E:$E,$B17,'JV Readiness Plan'!$F:$F,E$3))</f>
        <v>2</v>
      </c>
      <c r="F17" s="84">
        <f>(COUNTIFS('JV Readiness Plan'!$E:$E,$B17,'JV Readiness Plan'!$F:$F,F$3))</f>
        <v>0</v>
      </c>
      <c r="G17" s="84">
        <f>(COUNTIFS('JV Readiness Plan'!$E:$E,$B17,'JV Readiness Plan'!$F:$F,G$3))</f>
        <v>0</v>
      </c>
      <c r="H17" s="44"/>
      <c r="I17" s="72" t="s">
        <v>21</v>
      </c>
      <c r="J17" s="78">
        <f>SUM(K17:N17)</f>
        <v>12</v>
      </c>
      <c r="K17" s="79">
        <f>(COUNTIFS('JV Readiness Plan'!$B:$B,$I17,'JV Readiness Plan'!$F:$F,K$3))</f>
        <v>11</v>
      </c>
      <c r="M17" s="79">
        <f>(COUNTIFS('JV Readiness Plan'!$B:$B,$I17,'JV Readiness Plan'!$F:$F,M$3))</f>
        <v>1</v>
      </c>
      <c r="N17" s="79">
        <f>(COUNTIFS('JV Readiness Plan'!$B:$B,$I17,'JV Readiness Plan'!$F:$F,N$3))</f>
        <v>0</v>
      </c>
      <c r="O17" s="44"/>
    </row>
    <row r="18" spans="2:15" s="43" customFormat="1" ht="21" customHeight="1" x14ac:dyDescent="0.35">
      <c r="B18" s="72" t="s">
        <v>14</v>
      </c>
      <c r="C18" s="78">
        <f>SUM(D18:G18)</f>
        <v>2</v>
      </c>
      <c r="E18" s="79">
        <f>(COUNTIFS('JV Readiness Plan'!$E:$E,$B18,'JV Readiness Plan'!$F:$F,E$3))</f>
        <v>0</v>
      </c>
      <c r="F18" s="79">
        <f>(COUNTIFS('JV Readiness Plan'!$E:$E,$B18,'JV Readiness Plan'!$F:$F,F$3))</f>
        <v>2</v>
      </c>
      <c r="G18" s="79">
        <f>(COUNTIFS('JV Readiness Plan'!$E:$E,$B18,'JV Readiness Plan'!$F:$F,G$3))</f>
        <v>0</v>
      </c>
      <c r="H18" s="44"/>
      <c r="I18" s="72" t="s">
        <v>22</v>
      </c>
      <c r="J18" s="78">
        <f>SUM(K18:N18)</f>
        <v>4</v>
      </c>
      <c r="K18" s="79">
        <f>(COUNTIFS('JV Readiness Plan'!$B:$B,$I18,'JV Readiness Plan'!$F:$F,K$3))</f>
        <v>3</v>
      </c>
      <c r="M18" s="79">
        <f>(COUNTIFS('JV Readiness Plan'!$B:$B,$I18,'JV Readiness Plan'!$F:$F,M$3))</f>
        <v>1</v>
      </c>
      <c r="N18" s="79">
        <f>(COUNTIFS('JV Readiness Plan'!$B:$B,$I18,'JV Readiness Plan'!$F:$F,N$3))</f>
        <v>0</v>
      </c>
      <c r="O18" s="44"/>
    </row>
    <row r="19" spans="2:15" s="43" customFormat="1" ht="21" customHeight="1" x14ac:dyDescent="0.35">
      <c r="B19" s="72" t="s">
        <v>35</v>
      </c>
      <c r="C19" s="78">
        <f>SUM(D19:G19)</f>
        <v>0</v>
      </c>
      <c r="E19" s="79">
        <f>(COUNTIFS('JV Readiness Plan'!$E:$E,$B19,'JV Readiness Plan'!$F:$F,E$3))</f>
        <v>0</v>
      </c>
      <c r="F19" s="79">
        <f>(COUNTIFS('JV Readiness Plan'!$E:$E,$B19,'JV Readiness Plan'!$F:$F,F$3))</f>
        <v>0</v>
      </c>
      <c r="G19" s="79">
        <f>(COUNTIFS('JV Readiness Plan'!$E:$E,$B19,'JV Readiness Plan'!$F:$F,G$3))</f>
        <v>0</v>
      </c>
      <c r="H19" s="44"/>
      <c r="I19" s="72" t="s">
        <v>27</v>
      </c>
      <c r="J19" s="78">
        <f>SUM(K19:N19)</f>
        <v>3</v>
      </c>
      <c r="K19" s="79">
        <f>(COUNTIFS('JV Readiness Plan'!$B:$B,$I19,'JV Readiness Plan'!$F:$F,K$3))</f>
        <v>3</v>
      </c>
      <c r="M19" s="79">
        <f>(COUNTIFS('JV Readiness Plan'!$B:$B,$I19,'JV Readiness Plan'!$F:$F,M$3))</f>
        <v>0</v>
      </c>
      <c r="N19" s="79">
        <f>(COUNTIFS('JV Readiness Plan'!$B:$B,$I19,'JV Readiness Plan'!$F:$F,N$3))</f>
        <v>0</v>
      </c>
      <c r="O19" s="44"/>
    </row>
    <row r="20" spans="2:15" s="43" customFormat="1" ht="21" customHeight="1" x14ac:dyDescent="0.35">
      <c r="B20" s="72" t="s">
        <v>31</v>
      </c>
      <c r="C20" s="78">
        <f>SUM(D20:G20)</f>
        <v>0</v>
      </c>
      <c r="E20" s="79">
        <f>(COUNTIFS('JV Readiness Plan'!$E:$E,$B20,'JV Readiness Plan'!$F:$F,E$3))</f>
        <v>0</v>
      </c>
      <c r="F20" s="79">
        <f>(COUNTIFS('JV Readiness Plan'!$E:$E,$B20,'JV Readiness Plan'!$F:$F,F$3))</f>
        <v>0</v>
      </c>
      <c r="G20" s="79">
        <f>(COUNTIFS('JV Readiness Plan'!$E:$E,$B20,'JV Readiness Plan'!$F:$F,G$3))</f>
        <v>0</v>
      </c>
      <c r="H20" s="44"/>
      <c r="I20" s="72" t="s">
        <v>28</v>
      </c>
      <c r="J20" s="78">
        <f>SUM(K20:N20)</f>
        <v>1</v>
      </c>
      <c r="K20" s="79">
        <f>(COUNTIFS('JV Readiness Plan'!$B:$B,$I20,'JV Readiness Plan'!$F:$F,K$3))</f>
        <v>1</v>
      </c>
      <c r="M20" s="79">
        <f>(COUNTIFS('JV Readiness Plan'!$B:$B,$I20,'JV Readiness Plan'!$F:$F,M$3))</f>
        <v>0</v>
      </c>
      <c r="N20" s="79">
        <f>(COUNTIFS('JV Readiness Plan'!$B:$B,$I20,'JV Readiness Plan'!$F:$F,N$3))</f>
        <v>0</v>
      </c>
      <c r="O20" s="44"/>
    </row>
    <row r="21" spans="2:15" s="43" customFormat="1" ht="21" customHeight="1" x14ac:dyDescent="0.35">
      <c r="B21" s="72" t="s">
        <v>32</v>
      </c>
      <c r="C21" s="78">
        <f>SUM(D21:G21)</f>
        <v>0</v>
      </c>
      <c r="E21" s="79">
        <f>(COUNTIFS('JV Readiness Plan'!$E:$E,$B21,'JV Readiness Plan'!$F:$F,E$3))</f>
        <v>0</v>
      </c>
      <c r="F21" s="79">
        <f>(COUNTIFS('JV Readiness Plan'!$E:$E,$B21,'JV Readiness Plan'!$F:$F,F$3))</f>
        <v>0</v>
      </c>
      <c r="G21" s="79">
        <f>(COUNTIFS('JV Readiness Plan'!$E:$E,$B21,'JV Readiness Plan'!$F:$F,G$3))</f>
        <v>0</v>
      </c>
      <c r="H21" s="44"/>
      <c r="J21" s="45"/>
      <c r="K21" s="45"/>
      <c r="M21" s="45"/>
    </row>
    <row r="22" spans="2:15" s="43" customFormat="1" ht="21" customHeight="1" x14ac:dyDescent="0.35">
      <c r="B22" s="72" t="s">
        <v>33</v>
      </c>
      <c r="C22" s="78">
        <f>SUM(D22:G22)</f>
        <v>0</v>
      </c>
      <c r="E22" s="79">
        <f>(COUNTIFS('JV Readiness Plan'!$E:$E,$B22,'JV Readiness Plan'!$F:$F,E$3))</f>
        <v>0</v>
      </c>
      <c r="F22" s="79">
        <f>(COUNTIFS('JV Readiness Plan'!$E:$E,$B22,'JV Readiness Plan'!$F:$F,F$3))</f>
        <v>0</v>
      </c>
      <c r="G22" s="79">
        <f>(COUNTIFS('JV Readiness Plan'!$E:$E,$B22,'JV Readiness Plan'!$F:$F,G$3))</f>
        <v>0</v>
      </c>
      <c r="H22" s="44"/>
      <c r="J22" s="45"/>
      <c r="K22" s="45"/>
      <c r="M22" s="45"/>
    </row>
    <row r="23" spans="2:15" s="43" customFormat="1" ht="21" customHeight="1" x14ac:dyDescent="0.35">
      <c r="B23" s="72" t="s">
        <v>34</v>
      </c>
      <c r="C23" s="78">
        <f>SUM(D23:G23)</f>
        <v>0</v>
      </c>
      <c r="E23" s="79">
        <f>(COUNTIFS('JV Readiness Plan'!$E:$E,$B23,'JV Readiness Plan'!$F:$F,E$3))</f>
        <v>0</v>
      </c>
      <c r="F23" s="79">
        <f>(COUNTIFS('JV Readiness Plan'!$E:$E,$B23,'JV Readiness Plan'!$F:$F,F$3))</f>
        <v>0</v>
      </c>
      <c r="G23" s="79">
        <f>(COUNTIFS('JV Readiness Plan'!$E:$E,$B23,'JV Readiness Plan'!$F:$F,G$3))</f>
        <v>0</v>
      </c>
      <c r="H23" s="44"/>
      <c r="J23" s="45"/>
      <c r="K23" s="45"/>
      <c r="M23" s="45"/>
    </row>
    <row r="24" spans="2:15" s="43" customFormat="1" ht="21" customHeight="1" x14ac:dyDescent="0.35">
      <c r="B24" s="72" t="s">
        <v>274</v>
      </c>
      <c r="C24" s="78">
        <f>SUM(D24:G24)</f>
        <v>0</v>
      </c>
      <c r="E24" s="79">
        <f>(COUNTIFS('JV Readiness Plan'!$E:$E,$B24,'JV Readiness Plan'!$F:$F,E$3))</f>
        <v>0</v>
      </c>
      <c r="F24" s="79">
        <f>(COUNTIFS('JV Readiness Plan'!$E:$E,$B24,'JV Readiness Plan'!$F:$F,F$3))</f>
        <v>0</v>
      </c>
      <c r="G24" s="79">
        <f>(COUNTIFS('JV Readiness Plan'!$E:$E,$B24,'JV Readiness Plan'!$F:$F,G$3))</f>
        <v>0</v>
      </c>
      <c r="H24" s="44"/>
      <c r="J24" s="45"/>
      <c r="K24" s="45"/>
      <c r="M24" s="45"/>
    </row>
    <row r="25" spans="2:15" s="43" customFormat="1" ht="21" customHeight="1" x14ac:dyDescent="0.35">
      <c r="B25" s="83" t="s">
        <v>289</v>
      </c>
      <c r="C25" s="78">
        <f>SUM(D25:G25)</f>
        <v>0</v>
      </c>
      <c r="E25" s="84">
        <f>(COUNTIFS('JV Readiness Plan'!$E:$E,$B25,'JV Readiness Plan'!$F:$F,E$3))</f>
        <v>0</v>
      </c>
      <c r="F25" s="84">
        <f>(COUNTIFS('JV Readiness Plan'!$E:$E,$B25,'JV Readiness Plan'!$F:$F,F$3))</f>
        <v>0</v>
      </c>
      <c r="G25" s="84">
        <f>(COUNTIFS('JV Readiness Plan'!$E:$E,$B25,'JV Readiness Plan'!$F:$F,G$3))</f>
        <v>0</v>
      </c>
      <c r="H25" s="44"/>
      <c r="J25" s="45"/>
      <c r="K25" s="45"/>
      <c r="M25" s="45"/>
    </row>
    <row r="26" spans="2:15" s="43" customFormat="1" ht="21" customHeight="1" x14ac:dyDescent="0.35">
      <c r="B26" s="72" t="s">
        <v>37</v>
      </c>
      <c r="C26" s="78">
        <f>SUM(D26:G26)</f>
        <v>0</v>
      </c>
      <c r="E26" s="79">
        <f>(COUNTIFS('JV Readiness Plan'!$E:$E,$B26,'JV Readiness Plan'!$F:$F,E$3))</f>
        <v>0</v>
      </c>
      <c r="F26" s="79">
        <f>(COUNTIFS('JV Readiness Plan'!$E:$E,$B26,'JV Readiness Plan'!$F:$F,F$3))</f>
        <v>0</v>
      </c>
      <c r="G26" s="79">
        <f>(COUNTIFS('JV Readiness Plan'!$E:$E,$B26,'JV Readiness Plan'!$F:$F,G$3))</f>
        <v>0</v>
      </c>
      <c r="H26" s="44"/>
      <c r="J26" s="45"/>
      <c r="K26" s="45"/>
      <c r="M26" s="45"/>
    </row>
    <row r="27" spans="2:15" s="43" customFormat="1" ht="21" customHeight="1" x14ac:dyDescent="0.35">
      <c r="B27"/>
      <c r="C27"/>
      <c r="E27"/>
      <c r="F27"/>
      <c r="G27"/>
      <c r="J27" s="45"/>
      <c r="K27" s="45"/>
      <c r="M27" s="45"/>
    </row>
    <row r="28" spans="2:15" s="43" customFormat="1" ht="21" customHeight="1" x14ac:dyDescent="0.35">
      <c r="B28"/>
      <c r="C28"/>
      <c r="E28"/>
      <c r="F28"/>
      <c r="G28"/>
      <c r="J28" s="45"/>
      <c r="K28" s="45"/>
      <c r="M28" s="45"/>
    </row>
    <row r="29" spans="2:15" s="43" customFormat="1" ht="21" customHeight="1" x14ac:dyDescent="0.35">
      <c r="B29"/>
      <c r="C29"/>
      <c r="E29"/>
      <c r="F29"/>
      <c r="G29"/>
      <c r="J29" s="45"/>
      <c r="K29" s="45"/>
      <c r="M29" s="45"/>
    </row>
    <row r="30" spans="2:15" s="43" customFormat="1" ht="21" customHeight="1" x14ac:dyDescent="0.35">
      <c r="B30"/>
      <c r="C30"/>
      <c r="E30"/>
      <c r="F30"/>
      <c r="G30"/>
      <c r="J30" s="45"/>
      <c r="K30" s="45"/>
      <c r="M30" s="45"/>
    </row>
    <row r="31" spans="2:15" s="43" customFormat="1" ht="21" customHeight="1" x14ac:dyDescent="0.35">
      <c r="B31"/>
      <c r="C31"/>
      <c r="E31"/>
      <c r="F31"/>
      <c r="G31"/>
      <c r="I31"/>
      <c r="J31" s="4"/>
      <c r="K31" s="4"/>
      <c r="M31" s="4"/>
      <c r="N31"/>
    </row>
    <row r="32" spans="2:15" s="43" customFormat="1" ht="21" customHeight="1" x14ac:dyDescent="0.35">
      <c r="B32"/>
      <c r="C32"/>
      <c r="E32"/>
      <c r="F32"/>
      <c r="G32"/>
      <c r="I32"/>
      <c r="J32" s="4"/>
      <c r="K32" s="4"/>
      <c r="M32" s="4"/>
      <c r="N32"/>
    </row>
    <row r="33" spans="2:14" s="43" customFormat="1" ht="21" customHeight="1" x14ac:dyDescent="0.35">
      <c r="B33"/>
      <c r="C33"/>
      <c r="E33"/>
      <c r="F33"/>
      <c r="G33"/>
      <c r="I33"/>
      <c r="J33" s="4"/>
      <c r="K33" s="4"/>
      <c r="M33" s="4"/>
      <c r="N33"/>
    </row>
    <row r="34" spans="2:14" s="43" customFormat="1" ht="21" customHeight="1" x14ac:dyDescent="0.35">
      <c r="B34"/>
      <c r="C34"/>
      <c r="E34"/>
      <c r="F34"/>
      <c r="G34"/>
      <c r="I34"/>
      <c r="J34" s="4"/>
      <c r="K34" s="4"/>
      <c r="M34" s="4"/>
      <c r="N34"/>
    </row>
    <row r="35" spans="2:14" s="43" customFormat="1" ht="21" customHeight="1" x14ac:dyDescent="0.35">
      <c r="B35"/>
      <c r="C35"/>
      <c r="E35"/>
      <c r="F35"/>
      <c r="G35"/>
      <c r="I35"/>
      <c r="J35" s="4"/>
      <c r="K35" s="4"/>
      <c r="M35" s="4"/>
      <c r="N35"/>
    </row>
    <row r="123" spans="7:8" x14ac:dyDescent="0.35">
      <c r="G123" s="94">
        <v>46090</v>
      </c>
      <c r="H123" s="94"/>
    </row>
  </sheetData>
  <conditionalFormatting sqref="N4:N20 G4:G26">
    <cfRule type="cellIs" dxfId="0" priority="1"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tint="-9.9978637043366805E-2"/>
  </sheetPr>
  <dimension ref="A1:L133"/>
  <sheetViews>
    <sheetView showGridLines="0" tabSelected="1" zoomScale="70" zoomScaleNormal="70" workbookViewId="0">
      <pane ySplit="3" topLeftCell="A116" activePane="bottomLeft" state="frozen"/>
      <selection pane="bottomLeft" activeCell="F94" sqref="F94:F133"/>
    </sheetView>
  </sheetViews>
  <sheetFormatPr defaultRowHeight="14.5" outlineLevelRow="1" x14ac:dyDescent="0.35"/>
  <cols>
    <col min="1" max="1" width="21.08984375" style="4" customWidth="1"/>
    <col min="2" max="2" width="16.453125" customWidth="1"/>
    <col min="3" max="3" width="26.08984375" customWidth="1"/>
    <col min="4" max="4" width="123.81640625" customWidth="1"/>
    <col min="5" max="5" width="21" customWidth="1"/>
    <col min="6" max="6" width="14.1796875" style="45" customWidth="1"/>
    <col min="7" max="7" width="12.81640625" style="4" customWidth="1"/>
    <col min="8" max="8" width="12.81640625" style="16" customWidth="1"/>
    <col min="9" max="9" width="12.81640625" style="4" customWidth="1"/>
    <col min="10" max="11" width="16.1796875" customWidth="1"/>
    <col min="12" max="12" width="120.81640625" customWidth="1"/>
  </cols>
  <sheetData>
    <row r="1" spans="1:12" ht="33.4" customHeight="1" x14ac:dyDescent="1.25">
      <c r="A1" s="5" t="s">
        <v>38</v>
      </c>
      <c r="B1" s="1"/>
      <c r="C1" s="1"/>
      <c r="D1" s="1"/>
      <c r="E1" s="1"/>
      <c r="F1" s="44"/>
      <c r="G1" s="3"/>
      <c r="H1" s="88" t="s">
        <v>39</v>
      </c>
      <c r="I1" s="89">
        <f>MAX(I4:I133)</f>
        <v>46260</v>
      </c>
      <c r="J1" s="1"/>
      <c r="K1" s="1"/>
    </row>
    <row r="2" spans="1:12" ht="25.5" x14ac:dyDescent="1">
      <c r="A2" s="3"/>
      <c r="B2" s="1"/>
      <c r="C2" s="1"/>
      <c r="D2" s="1"/>
      <c r="H2"/>
    </row>
    <row r="3" spans="1:12" ht="29" x14ac:dyDescent="0.35">
      <c r="A3" s="23" t="s">
        <v>12</v>
      </c>
      <c r="B3" s="23" t="s">
        <v>40</v>
      </c>
      <c r="C3" s="24" t="s">
        <v>41</v>
      </c>
      <c r="D3" s="23" t="s">
        <v>42</v>
      </c>
      <c r="E3" s="25" t="s">
        <v>6</v>
      </c>
      <c r="F3" s="25" t="s">
        <v>43</v>
      </c>
      <c r="G3" s="25" t="s">
        <v>44</v>
      </c>
      <c r="H3" s="25" t="s">
        <v>45</v>
      </c>
      <c r="I3" s="25" t="s">
        <v>46</v>
      </c>
      <c r="J3" s="25" t="s">
        <v>47</v>
      </c>
      <c r="K3" s="25" t="s">
        <v>216</v>
      </c>
      <c r="L3" s="25" t="s">
        <v>295</v>
      </c>
    </row>
    <row r="4" spans="1:12" ht="24.75" customHeight="1" x14ac:dyDescent="0.35">
      <c r="A4" s="53"/>
      <c r="B4" s="53" t="s">
        <v>48</v>
      </c>
      <c r="C4" s="54"/>
      <c r="D4" s="54"/>
      <c r="E4" s="54"/>
      <c r="F4" s="55"/>
      <c r="G4" s="56">
        <f>MIN(G5:G14)</f>
        <v>46054</v>
      </c>
      <c r="H4" s="57">
        <f>I4-G4</f>
        <v>58</v>
      </c>
      <c r="I4" s="56">
        <f>MAX(I5:I14)</f>
        <v>46112</v>
      </c>
      <c r="J4" s="58"/>
      <c r="K4" s="58"/>
      <c r="L4" s="90"/>
    </row>
    <row r="5" spans="1:12" ht="34.5" customHeight="1" outlineLevel="1" x14ac:dyDescent="0.35">
      <c r="A5" s="85" t="s">
        <v>13</v>
      </c>
      <c r="B5" s="19" t="s">
        <v>49</v>
      </c>
      <c r="C5" s="19" t="s">
        <v>225</v>
      </c>
      <c r="D5" s="19" t="s">
        <v>50</v>
      </c>
      <c r="E5" s="19" t="s">
        <v>16</v>
      </c>
      <c r="F5" s="46" t="s">
        <v>10</v>
      </c>
      <c r="G5" s="26">
        <v>46054</v>
      </c>
      <c r="H5" s="27">
        <v>14</v>
      </c>
      <c r="I5" s="28">
        <f>G5+H5</f>
        <v>46068</v>
      </c>
      <c r="J5" s="65">
        <f t="shared" ref="J5" ca="1" si="0">IFERROR(MAX(0,MIN(1,(TODAY()-G5)/(I5-G5))),"")</f>
        <v>1</v>
      </c>
      <c r="K5" s="91">
        <v>1</v>
      </c>
      <c r="L5" s="90"/>
    </row>
    <row r="6" spans="1:12" ht="42" customHeight="1" outlineLevel="1" x14ac:dyDescent="0.35">
      <c r="A6" s="86" t="s">
        <v>13</v>
      </c>
      <c r="B6" s="13" t="s">
        <v>49</v>
      </c>
      <c r="C6" s="13" t="s">
        <v>224</v>
      </c>
      <c r="D6" s="13" t="s">
        <v>51</v>
      </c>
      <c r="E6" s="19" t="s">
        <v>16</v>
      </c>
      <c r="F6" s="47" t="s">
        <v>10</v>
      </c>
      <c r="G6" s="29">
        <f>I5</f>
        <v>46068</v>
      </c>
      <c r="H6" s="30">
        <v>18</v>
      </c>
      <c r="I6" s="29">
        <f>G6+H6</f>
        <v>46086</v>
      </c>
      <c r="J6" s="66">
        <f ca="1">IFERROR(MAX(0,MIN(1,(TODAY()-G6)/(I6-G6))),"")</f>
        <v>1</v>
      </c>
      <c r="K6" s="92">
        <v>1</v>
      </c>
      <c r="L6" s="90" t="s">
        <v>340</v>
      </c>
    </row>
    <row r="7" spans="1:12" ht="42" customHeight="1" outlineLevel="1" x14ac:dyDescent="0.35">
      <c r="A7" s="86" t="s">
        <v>13</v>
      </c>
      <c r="B7" s="13" t="s">
        <v>49</v>
      </c>
      <c r="C7" s="13" t="s">
        <v>52</v>
      </c>
      <c r="D7" s="13" t="s">
        <v>53</v>
      </c>
      <c r="E7" s="17" t="s">
        <v>30</v>
      </c>
      <c r="F7" s="47" t="s">
        <v>10</v>
      </c>
      <c r="G7" s="29">
        <f>I5</f>
        <v>46068</v>
      </c>
      <c r="H7" s="30">
        <v>18</v>
      </c>
      <c r="I7" s="29">
        <f>G7+H7</f>
        <v>46086</v>
      </c>
      <c r="J7" s="66">
        <f t="shared" ref="J7:J14" ca="1" si="1">IFERROR(MAX(0,MIN(1,(TODAY()-G7)/(I7-G7))),"")</f>
        <v>1</v>
      </c>
      <c r="K7" s="92">
        <v>1</v>
      </c>
      <c r="L7" s="90" t="s">
        <v>342</v>
      </c>
    </row>
    <row r="8" spans="1:12" ht="35.25" customHeight="1" outlineLevel="1" x14ac:dyDescent="0.35">
      <c r="A8" s="86" t="s">
        <v>13</v>
      </c>
      <c r="B8" s="13" t="s">
        <v>49</v>
      </c>
      <c r="C8" s="22" t="s">
        <v>54</v>
      </c>
      <c r="D8" s="22" t="s">
        <v>55</v>
      </c>
      <c r="E8" s="19" t="s">
        <v>288</v>
      </c>
      <c r="F8" s="47" t="s">
        <v>10</v>
      </c>
      <c r="G8" s="33">
        <v>46071</v>
      </c>
      <c r="H8" s="36">
        <v>14</v>
      </c>
      <c r="I8" s="28">
        <f>G8+H8</f>
        <v>46085</v>
      </c>
      <c r="J8" s="65">
        <f ca="1">IFERROR(MAX(0,MIN(1,(TODAY()-G8)/(I8-G8))),"")</f>
        <v>1</v>
      </c>
      <c r="K8" s="92">
        <v>1</v>
      </c>
      <c r="L8" s="90" t="s">
        <v>343</v>
      </c>
    </row>
    <row r="9" spans="1:12" ht="42" customHeight="1" outlineLevel="1" x14ac:dyDescent="0.35">
      <c r="A9" s="86" t="s">
        <v>13</v>
      </c>
      <c r="B9" s="13" t="s">
        <v>49</v>
      </c>
      <c r="C9" s="13" t="s">
        <v>226</v>
      </c>
      <c r="D9" s="13" t="s">
        <v>56</v>
      </c>
      <c r="E9" s="19" t="s">
        <v>16</v>
      </c>
      <c r="F9" s="47" t="s">
        <v>9</v>
      </c>
      <c r="G9" s="29">
        <f>I7</f>
        <v>46086</v>
      </c>
      <c r="H9" s="30">
        <v>7</v>
      </c>
      <c r="I9" s="29">
        <f t="shared" ref="I9:I42" si="2">G9+H9</f>
        <v>46093</v>
      </c>
      <c r="J9" s="66">
        <f t="shared" ca="1" si="1"/>
        <v>0.7142857142857143</v>
      </c>
      <c r="K9" s="92">
        <v>0.7</v>
      </c>
      <c r="L9" s="90" t="s">
        <v>341</v>
      </c>
    </row>
    <row r="10" spans="1:12" ht="42" customHeight="1" outlineLevel="1" x14ac:dyDescent="0.35">
      <c r="A10" s="86" t="s">
        <v>13</v>
      </c>
      <c r="B10" s="13" t="s">
        <v>49</v>
      </c>
      <c r="C10" s="13" t="s">
        <v>227</v>
      </c>
      <c r="D10" s="13" t="s">
        <v>371</v>
      </c>
      <c r="E10" s="19" t="s">
        <v>16</v>
      </c>
      <c r="F10" s="47" t="s">
        <v>57</v>
      </c>
      <c r="G10" s="29">
        <f>I9</f>
        <v>46093</v>
      </c>
      <c r="H10" s="30">
        <v>3</v>
      </c>
      <c r="I10" s="29">
        <f t="shared" si="2"/>
        <v>46096</v>
      </c>
      <c r="J10" s="66">
        <f t="shared" ca="1" si="1"/>
        <v>0</v>
      </c>
      <c r="K10" s="92">
        <v>0</v>
      </c>
      <c r="L10" s="90"/>
    </row>
    <row r="11" spans="1:12" ht="42" customHeight="1" outlineLevel="1" x14ac:dyDescent="0.35">
      <c r="A11" s="86" t="s">
        <v>13</v>
      </c>
      <c r="B11" s="13" t="s">
        <v>49</v>
      </c>
      <c r="C11" s="13" t="s">
        <v>353</v>
      </c>
      <c r="D11" s="13" t="s">
        <v>354</v>
      </c>
      <c r="E11" s="19" t="s">
        <v>16</v>
      </c>
      <c r="F11" s="47" t="s">
        <v>9</v>
      </c>
      <c r="G11" s="29">
        <v>46089</v>
      </c>
      <c r="H11" s="30">
        <v>4</v>
      </c>
      <c r="I11" s="29">
        <f>G11+H11</f>
        <v>46093</v>
      </c>
      <c r="J11" s="66">
        <f ca="1">IFERROR(MAX(0,MIN(1,(TODAY()-G11)/(I11-G11))),"")</f>
        <v>0.5</v>
      </c>
      <c r="K11" s="97">
        <v>0.5</v>
      </c>
      <c r="L11" s="90"/>
    </row>
    <row r="12" spans="1:12" ht="42" customHeight="1" outlineLevel="1" x14ac:dyDescent="0.35">
      <c r="A12" s="86" t="s">
        <v>13</v>
      </c>
      <c r="B12" s="13" t="s">
        <v>49</v>
      </c>
      <c r="C12" s="13" t="s">
        <v>58</v>
      </c>
      <c r="D12" s="13" t="s">
        <v>355</v>
      </c>
      <c r="E12" s="19" t="s">
        <v>16</v>
      </c>
      <c r="F12" s="47" t="s">
        <v>57</v>
      </c>
      <c r="G12" s="29">
        <f>I10</f>
        <v>46096</v>
      </c>
      <c r="H12" s="30">
        <v>7</v>
      </c>
      <c r="I12" s="29">
        <f t="shared" si="2"/>
        <v>46103</v>
      </c>
      <c r="J12" s="66">
        <f t="shared" ca="1" si="1"/>
        <v>0</v>
      </c>
      <c r="K12" s="92">
        <v>0</v>
      </c>
      <c r="L12" s="90"/>
    </row>
    <row r="13" spans="1:12" ht="42" customHeight="1" outlineLevel="1" x14ac:dyDescent="0.35">
      <c r="A13" s="86" t="s">
        <v>13</v>
      </c>
      <c r="B13" s="13" t="s">
        <v>49</v>
      </c>
      <c r="C13" s="13" t="s">
        <v>59</v>
      </c>
      <c r="D13" s="13" t="s">
        <v>60</v>
      </c>
      <c r="E13" s="19" t="s">
        <v>288</v>
      </c>
      <c r="F13" s="47" t="s">
        <v>57</v>
      </c>
      <c r="G13" s="29">
        <f>I12</f>
        <v>46103</v>
      </c>
      <c r="H13" s="30">
        <v>2</v>
      </c>
      <c r="I13" s="29">
        <f t="shared" si="2"/>
        <v>46105</v>
      </c>
      <c r="J13" s="66">
        <f t="shared" ca="1" si="1"/>
        <v>0</v>
      </c>
      <c r="K13" s="92">
        <v>0</v>
      </c>
      <c r="L13" s="90"/>
    </row>
    <row r="14" spans="1:12" ht="42" customHeight="1" outlineLevel="1" x14ac:dyDescent="0.35">
      <c r="A14" s="86" t="s">
        <v>13</v>
      </c>
      <c r="B14" s="13" t="s">
        <v>49</v>
      </c>
      <c r="C14" s="13" t="s">
        <v>228</v>
      </c>
      <c r="D14" s="13" t="s">
        <v>61</v>
      </c>
      <c r="E14" s="19" t="s">
        <v>288</v>
      </c>
      <c r="F14" s="47" t="s">
        <v>57</v>
      </c>
      <c r="G14" s="29">
        <f>I13</f>
        <v>46105</v>
      </c>
      <c r="H14" s="30">
        <v>7</v>
      </c>
      <c r="I14" s="29">
        <f t="shared" si="2"/>
        <v>46112</v>
      </c>
      <c r="J14" s="66">
        <f t="shared" ca="1" si="1"/>
        <v>0</v>
      </c>
      <c r="K14" s="92">
        <v>0</v>
      </c>
      <c r="L14" s="90"/>
    </row>
    <row r="15" spans="1:12" ht="24.75" customHeight="1" x14ac:dyDescent="0.35">
      <c r="A15" s="53"/>
      <c r="B15" s="53" t="s">
        <v>62</v>
      </c>
      <c r="C15" s="54"/>
      <c r="D15" s="54"/>
      <c r="E15" s="54"/>
      <c r="F15" s="55"/>
      <c r="G15" s="56">
        <f>MIN(G16:G21)</f>
        <v>46054</v>
      </c>
      <c r="H15" s="57">
        <f>I15-G15</f>
        <v>56</v>
      </c>
      <c r="I15" s="56">
        <f>MAX(I16:I21)</f>
        <v>46110</v>
      </c>
      <c r="J15" s="58"/>
      <c r="K15" s="81"/>
      <c r="L15" s="90"/>
    </row>
    <row r="16" spans="1:12" ht="35.25" customHeight="1" outlineLevel="1" x14ac:dyDescent="0.35">
      <c r="A16" s="85" t="s">
        <v>13</v>
      </c>
      <c r="B16" s="22" t="s">
        <v>62</v>
      </c>
      <c r="C16" s="22" t="s">
        <v>229</v>
      </c>
      <c r="D16" s="22" t="s">
        <v>63</v>
      </c>
      <c r="E16" s="13" t="s">
        <v>30</v>
      </c>
      <c r="F16" s="48" t="s">
        <v>10</v>
      </c>
      <c r="G16" s="33">
        <v>46054</v>
      </c>
      <c r="H16" s="27">
        <v>11</v>
      </c>
      <c r="I16" s="28">
        <f t="shared" si="2"/>
        <v>46065</v>
      </c>
      <c r="J16" s="65">
        <f t="shared" ref="J16:J76" ca="1" si="3">IFERROR(MAX(0,MIN(1,(TODAY()-G16)/(I16-G16))),"")</f>
        <v>1</v>
      </c>
      <c r="K16" s="91">
        <v>1</v>
      </c>
      <c r="L16" s="90"/>
    </row>
    <row r="17" spans="1:12" ht="35.25" customHeight="1" outlineLevel="1" x14ac:dyDescent="0.35">
      <c r="A17" s="86" t="s">
        <v>13</v>
      </c>
      <c r="B17" s="17" t="s">
        <v>62</v>
      </c>
      <c r="C17" s="17" t="s">
        <v>230</v>
      </c>
      <c r="D17" s="17" t="s">
        <v>64</v>
      </c>
      <c r="E17" s="19" t="s">
        <v>16</v>
      </c>
      <c r="F17" s="49" t="s">
        <v>10</v>
      </c>
      <c r="G17" s="29">
        <f>I16</f>
        <v>46065</v>
      </c>
      <c r="H17" s="30">
        <v>24</v>
      </c>
      <c r="I17" s="29">
        <f t="shared" si="2"/>
        <v>46089</v>
      </c>
      <c r="J17" s="66">
        <f t="shared" ca="1" si="3"/>
        <v>1</v>
      </c>
      <c r="K17" s="92">
        <v>1</v>
      </c>
      <c r="L17" s="90" t="s">
        <v>348</v>
      </c>
    </row>
    <row r="18" spans="1:12" ht="35.25" customHeight="1" outlineLevel="1" x14ac:dyDescent="0.35">
      <c r="A18" s="86" t="s">
        <v>13</v>
      </c>
      <c r="B18" s="17" t="s">
        <v>62</v>
      </c>
      <c r="C18" s="17" t="s">
        <v>231</v>
      </c>
      <c r="D18" s="17" t="s">
        <v>65</v>
      </c>
      <c r="E18" s="19" t="s">
        <v>16</v>
      </c>
      <c r="F18" s="49" t="s">
        <v>9</v>
      </c>
      <c r="G18" s="29">
        <f>I17</f>
        <v>46089</v>
      </c>
      <c r="H18" s="30">
        <v>7</v>
      </c>
      <c r="I18" s="29">
        <f t="shared" si="2"/>
        <v>46096</v>
      </c>
      <c r="J18" s="66">
        <f t="shared" ca="1" si="3"/>
        <v>0.2857142857142857</v>
      </c>
      <c r="K18" s="92">
        <v>0.3</v>
      </c>
      <c r="L18" s="90" t="s">
        <v>345</v>
      </c>
    </row>
    <row r="19" spans="1:12" ht="35.25" customHeight="1" outlineLevel="1" x14ac:dyDescent="0.35">
      <c r="A19" s="86" t="s">
        <v>13</v>
      </c>
      <c r="B19" s="13" t="s">
        <v>62</v>
      </c>
      <c r="C19" s="13" t="s">
        <v>232</v>
      </c>
      <c r="D19" s="13" t="s">
        <v>66</v>
      </c>
      <c r="E19" s="13" t="s">
        <v>14</v>
      </c>
      <c r="F19" s="47" t="s">
        <v>9</v>
      </c>
      <c r="G19" s="40">
        <v>46085</v>
      </c>
      <c r="H19" s="30">
        <v>14</v>
      </c>
      <c r="I19" s="29">
        <f>G19+H19</f>
        <v>46099</v>
      </c>
      <c r="J19" s="66">
        <f t="shared" ca="1" si="3"/>
        <v>0.42857142857142855</v>
      </c>
      <c r="K19" s="92">
        <v>0.3</v>
      </c>
      <c r="L19" s="90" t="s">
        <v>346</v>
      </c>
    </row>
    <row r="20" spans="1:12" ht="35.25" customHeight="1" outlineLevel="1" x14ac:dyDescent="0.35">
      <c r="A20" s="86" t="s">
        <v>13</v>
      </c>
      <c r="B20" s="13" t="s">
        <v>62</v>
      </c>
      <c r="C20" s="17" t="s">
        <v>233</v>
      </c>
      <c r="D20" s="17" t="s">
        <v>67</v>
      </c>
      <c r="E20" s="52" t="s">
        <v>279</v>
      </c>
      <c r="F20" s="47" t="s">
        <v>9</v>
      </c>
      <c r="G20" s="40">
        <v>46089</v>
      </c>
      <c r="H20" s="30">
        <v>14</v>
      </c>
      <c r="I20" s="29">
        <f t="shared" si="2"/>
        <v>46103</v>
      </c>
      <c r="J20" s="66">
        <f t="shared" ca="1" si="3"/>
        <v>0.14285714285714285</v>
      </c>
      <c r="K20" s="92">
        <v>0.15</v>
      </c>
      <c r="L20" s="90"/>
    </row>
    <row r="21" spans="1:12" ht="35.25" customHeight="1" outlineLevel="1" x14ac:dyDescent="0.35">
      <c r="A21" s="86" t="s">
        <v>13</v>
      </c>
      <c r="B21" s="13" t="s">
        <v>62</v>
      </c>
      <c r="C21" s="13" t="s">
        <v>240</v>
      </c>
      <c r="D21" s="13" t="s">
        <v>68</v>
      </c>
      <c r="E21" s="14" t="s">
        <v>290</v>
      </c>
      <c r="F21" s="47" t="s">
        <v>57</v>
      </c>
      <c r="G21" s="29">
        <f>I20</f>
        <v>46103</v>
      </c>
      <c r="H21" s="30">
        <v>7</v>
      </c>
      <c r="I21" s="29">
        <f t="shared" si="2"/>
        <v>46110</v>
      </c>
      <c r="J21" s="66">
        <f t="shared" ca="1" si="3"/>
        <v>0</v>
      </c>
      <c r="K21" s="92">
        <v>0</v>
      </c>
      <c r="L21" s="90"/>
    </row>
    <row r="22" spans="1:12" ht="24.75" customHeight="1" x14ac:dyDescent="0.35">
      <c r="A22" s="59"/>
      <c r="B22" s="59" t="s">
        <v>69</v>
      </c>
      <c r="C22" s="60"/>
      <c r="D22" s="60"/>
      <c r="E22" s="54"/>
      <c r="F22" s="61"/>
      <c r="G22" s="62">
        <f>MIN(G23:G28)</f>
        <v>46054</v>
      </c>
      <c r="H22" s="63">
        <f>I22-G22</f>
        <v>56</v>
      </c>
      <c r="I22" s="62">
        <f>MAX(I23:I28)</f>
        <v>46110</v>
      </c>
      <c r="J22" s="64"/>
      <c r="K22" s="82"/>
      <c r="L22" s="90"/>
    </row>
    <row r="23" spans="1:12" ht="35.25" customHeight="1" outlineLevel="1" x14ac:dyDescent="0.35">
      <c r="A23" s="86" t="s">
        <v>13</v>
      </c>
      <c r="B23" s="17" t="s">
        <v>69</v>
      </c>
      <c r="C23" s="13" t="s">
        <v>234</v>
      </c>
      <c r="D23" s="99" t="s">
        <v>70</v>
      </c>
      <c r="E23" s="19" t="s">
        <v>16</v>
      </c>
      <c r="F23" s="100" t="s">
        <v>11</v>
      </c>
      <c r="G23" s="34">
        <v>46054</v>
      </c>
      <c r="H23" s="35">
        <v>35</v>
      </c>
      <c r="I23" s="29">
        <f t="shared" si="2"/>
        <v>46089</v>
      </c>
      <c r="J23" s="66">
        <f t="shared" ca="1" si="3"/>
        <v>1</v>
      </c>
      <c r="K23" s="92">
        <v>0.8</v>
      </c>
      <c r="L23" s="90" t="s">
        <v>347</v>
      </c>
    </row>
    <row r="24" spans="1:12" ht="35.25" customHeight="1" outlineLevel="1" x14ac:dyDescent="0.35">
      <c r="A24" s="86" t="s">
        <v>13</v>
      </c>
      <c r="B24" s="17" t="s">
        <v>69</v>
      </c>
      <c r="C24" s="17" t="s">
        <v>235</v>
      </c>
      <c r="D24" s="17" t="s">
        <v>64</v>
      </c>
      <c r="E24" s="19" t="s">
        <v>16</v>
      </c>
      <c r="F24" s="47" t="s">
        <v>9</v>
      </c>
      <c r="G24" s="33">
        <v>46069</v>
      </c>
      <c r="H24" s="30">
        <v>24</v>
      </c>
      <c r="I24" s="29">
        <f t="shared" si="2"/>
        <v>46093</v>
      </c>
      <c r="J24" s="66">
        <f t="shared" ca="1" si="3"/>
        <v>0.91666666666666663</v>
      </c>
      <c r="K24" s="92">
        <v>0.8</v>
      </c>
      <c r="L24" s="90" t="s">
        <v>344</v>
      </c>
    </row>
    <row r="25" spans="1:12" ht="35.25" customHeight="1" outlineLevel="1" x14ac:dyDescent="0.35">
      <c r="A25" s="86" t="s">
        <v>13</v>
      </c>
      <c r="B25" s="17" t="s">
        <v>69</v>
      </c>
      <c r="C25" s="17" t="s">
        <v>236</v>
      </c>
      <c r="D25" s="17" t="s">
        <v>65</v>
      </c>
      <c r="E25" s="19" t="s">
        <v>16</v>
      </c>
      <c r="F25" s="49" t="s">
        <v>57</v>
      </c>
      <c r="G25" s="29">
        <f>I24</f>
        <v>46093</v>
      </c>
      <c r="H25" s="30">
        <v>7</v>
      </c>
      <c r="I25" s="29">
        <f t="shared" si="2"/>
        <v>46100</v>
      </c>
      <c r="J25" s="66">
        <f t="shared" ca="1" si="3"/>
        <v>0</v>
      </c>
      <c r="K25" s="92">
        <v>0</v>
      </c>
      <c r="L25" s="90"/>
    </row>
    <row r="26" spans="1:12" ht="35.25" customHeight="1" outlineLevel="1" x14ac:dyDescent="0.35">
      <c r="A26" s="86" t="s">
        <v>13</v>
      </c>
      <c r="B26" s="13" t="s">
        <v>69</v>
      </c>
      <c r="C26" s="13" t="s">
        <v>237</v>
      </c>
      <c r="D26" s="13" t="s">
        <v>71</v>
      </c>
      <c r="E26" s="13" t="s">
        <v>14</v>
      </c>
      <c r="F26" s="47" t="s">
        <v>9</v>
      </c>
      <c r="G26" s="40">
        <v>46085</v>
      </c>
      <c r="H26" s="35">
        <v>14</v>
      </c>
      <c r="I26" s="29">
        <f t="shared" si="2"/>
        <v>46099</v>
      </c>
      <c r="J26" s="66">
        <f t="shared" ca="1" si="3"/>
        <v>0.42857142857142855</v>
      </c>
      <c r="K26" s="92">
        <v>0.3</v>
      </c>
      <c r="L26" s="90" t="s">
        <v>349</v>
      </c>
    </row>
    <row r="27" spans="1:12" ht="35.25" customHeight="1" outlineLevel="1" x14ac:dyDescent="0.35">
      <c r="A27" s="86" t="s">
        <v>13</v>
      </c>
      <c r="B27" s="13" t="s">
        <v>69</v>
      </c>
      <c r="C27" s="17" t="s">
        <v>238</v>
      </c>
      <c r="D27" s="17" t="s">
        <v>72</v>
      </c>
      <c r="E27" s="13" t="s">
        <v>279</v>
      </c>
      <c r="F27" s="47" t="s">
        <v>9</v>
      </c>
      <c r="G27" s="40">
        <v>46089</v>
      </c>
      <c r="H27" s="30">
        <v>14</v>
      </c>
      <c r="I27" s="29">
        <f t="shared" si="2"/>
        <v>46103</v>
      </c>
      <c r="J27" s="66">
        <f t="shared" ca="1" si="3"/>
        <v>0.14285714285714285</v>
      </c>
      <c r="K27" s="92">
        <v>0.15</v>
      </c>
      <c r="L27" s="90"/>
    </row>
    <row r="28" spans="1:12" ht="35.15" customHeight="1" outlineLevel="1" x14ac:dyDescent="0.35">
      <c r="A28" s="86" t="s">
        <v>13</v>
      </c>
      <c r="B28" s="13" t="s">
        <v>69</v>
      </c>
      <c r="C28" s="13" t="s">
        <v>239</v>
      </c>
      <c r="D28" s="13" t="s">
        <v>73</v>
      </c>
      <c r="E28" s="13" t="s">
        <v>290</v>
      </c>
      <c r="F28" s="47" t="s">
        <v>57</v>
      </c>
      <c r="G28" s="29">
        <f>I27</f>
        <v>46103</v>
      </c>
      <c r="H28" s="30">
        <v>7</v>
      </c>
      <c r="I28" s="29">
        <f t="shared" si="2"/>
        <v>46110</v>
      </c>
      <c r="J28" s="66">
        <f t="shared" ca="1" si="3"/>
        <v>0</v>
      </c>
      <c r="K28" s="92">
        <v>0</v>
      </c>
      <c r="L28" s="90" t="s">
        <v>296</v>
      </c>
    </row>
    <row r="29" spans="1:12" ht="24.75" customHeight="1" x14ac:dyDescent="0.35">
      <c r="A29" s="53"/>
      <c r="B29" s="53" t="s">
        <v>74</v>
      </c>
      <c r="C29" s="54"/>
      <c r="D29" s="54"/>
      <c r="E29" s="54"/>
      <c r="F29" s="55"/>
      <c r="G29" s="56">
        <f>MIN(G30:G32)</f>
        <v>46068</v>
      </c>
      <c r="H29" s="57">
        <f>I29-G29</f>
        <v>37</v>
      </c>
      <c r="I29" s="56">
        <f>MAX(I30:I32)</f>
        <v>46105</v>
      </c>
      <c r="J29" s="58"/>
      <c r="K29" s="81"/>
      <c r="L29" s="90"/>
    </row>
    <row r="30" spans="1:12" ht="35.25" customHeight="1" outlineLevel="1" x14ac:dyDescent="0.35">
      <c r="A30" s="86" t="s">
        <v>13</v>
      </c>
      <c r="B30" s="13" t="s">
        <v>74</v>
      </c>
      <c r="C30" s="17" t="s">
        <v>241</v>
      </c>
      <c r="D30" s="17" t="s">
        <v>75</v>
      </c>
      <c r="E30" s="13" t="s">
        <v>20</v>
      </c>
      <c r="F30" s="49" t="s">
        <v>10</v>
      </c>
      <c r="G30" s="34">
        <v>46077</v>
      </c>
      <c r="H30" s="35">
        <v>9</v>
      </c>
      <c r="I30" s="29">
        <f t="shared" si="2"/>
        <v>46086</v>
      </c>
      <c r="J30" s="66">
        <f t="shared" ca="1" si="3"/>
        <v>1</v>
      </c>
      <c r="K30" s="92">
        <v>1</v>
      </c>
      <c r="L30" s="90"/>
    </row>
    <row r="31" spans="1:12" ht="35.25" customHeight="1" outlineLevel="1" x14ac:dyDescent="0.35">
      <c r="A31" s="86" t="s">
        <v>13</v>
      </c>
      <c r="B31" s="13" t="s">
        <v>74</v>
      </c>
      <c r="C31" s="17" t="s">
        <v>76</v>
      </c>
      <c r="D31" s="17" t="s">
        <v>291</v>
      </c>
      <c r="E31" s="13" t="s">
        <v>278</v>
      </c>
      <c r="F31" s="49" t="s">
        <v>9</v>
      </c>
      <c r="G31" s="40">
        <v>46068</v>
      </c>
      <c r="H31" s="35">
        <v>30</v>
      </c>
      <c r="I31" s="29">
        <f t="shared" si="2"/>
        <v>46098</v>
      </c>
      <c r="J31" s="66">
        <f t="shared" ca="1" si="3"/>
        <v>0.76666666666666672</v>
      </c>
      <c r="K31" s="92">
        <v>0.8</v>
      </c>
      <c r="L31" s="90" t="s">
        <v>357</v>
      </c>
    </row>
    <row r="32" spans="1:12" ht="35.25" customHeight="1" outlineLevel="1" x14ac:dyDescent="0.35">
      <c r="A32" s="86" t="s">
        <v>13</v>
      </c>
      <c r="B32" s="13" t="s">
        <v>74</v>
      </c>
      <c r="C32" s="13" t="s">
        <v>242</v>
      </c>
      <c r="D32" s="13" t="s">
        <v>77</v>
      </c>
      <c r="E32" s="13" t="s">
        <v>370</v>
      </c>
      <c r="F32" s="47" t="s">
        <v>57</v>
      </c>
      <c r="G32" s="29">
        <f>I31</f>
        <v>46098</v>
      </c>
      <c r="H32" s="30">
        <v>7</v>
      </c>
      <c r="I32" s="29">
        <f t="shared" si="2"/>
        <v>46105</v>
      </c>
      <c r="J32" s="66">
        <f t="shared" ca="1" si="3"/>
        <v>0</v>
      </c>
      <c r="K32" s="92">
        <v>0</v>
      </c>
      <c r="L32" s="90"/>
    </row>
    <row r="33" spans="1:12" ht="24.75" customHeight="1" x14ac:dyDescent="0.35">
      <c r="A33" s="53"/>
      <c r="B33" s="53" t="s">
        <v>78</v>
      </c>
      <c r="C33" s="54"/>
      <c r="D33" s="54"/>
      <c r="E33" s="54"/>
      <c r="F33" s="55"/>
      <c r="G33" s="56">
        <f>MIN(G34:G37)</f>
        <v>46054</v>
      </c>
      <c r="H33" s="57">
        <f>I33-G33</f>
        <v>62</v>
      </c>
      <c r="I33" s="56">
        <f>MAX(I34:I37)</f>
        <v>46116</v>
      </c>
      <c r="J33" s="58"/>
      <c r="K33" s="81"/>
      <c r="L33" s="90"/>
    </row>
    <row r="34" spans="1:12" ht="35.25" customHeight="1" outlineLevel="1" x14ac:dyDescent="0.35">
      <c r="A34" s="85" t="s">
        <v>13</v>
      </c>
      <c r="B34" s="22" t="s">
        <v>78</v>
      </c>
      <c r="C34" s="22" t="s">
        <v>79</v>
      </c>
      <c r="D34" s="22" t="s">
        <v>80</v>
      </c>
      <c r="E34" s="22" t="s">
        <v>26</v>
      </c>
      <c r="F34" s="48" t="s">
        <v>9</v>
      </c>
      <c r="G34" s="33">
        <v>46054</v>
      </c>
      <c r="H34" s="36">
        <v>40</v>
      </c>
      <c r="I34" s="28">
        <f t="shared" si="2"/>
        <v>46094</v>
      </c>
      <c r="J34" s="65">
        <f t="shared" ca="1" si="3"/>
        <v>0.92500000000000004</v>
      </c>
      <c r="K34" s="92">
        <v>0.8</v>
      </c>
      <c r="L34" s="90" t="s">
        <v>297</v>
      </c>
    </row>
    <row r="35" spans="1:12" ht="35.25" customHeight="1" outlineLevel="1" x14ac:dyDescent="0.35">
      <c r="A35" s="86" t="s">
        <v>13</v>
      </c>
      <c r="B35" s="17" t="s">
        <v>78</v>
      </c>
      <c r="C35" s="17" t="s">
        <v>243</v>
      </c>
      <c r="D35" s="17" t="s">
        <v>81</v>
      </c>
      <c r="E35" s="22" t="s">
        <v>26</v>
      </c>
      <c r="F35" s="47" t="s">
        <v>9</v>
      </c>
      <c r="G35" s="33">
        <v>46055</v>
      </c>
      <c r="H35" s="35">
        <v>40</v>
      </c>
      <c r="I35" s="28">
        <f>G35+H35</f>
        <v>46095</v>
      </c>
      <c r="J35" s="66">
        <f t="shared" ca="1" si="3"/>
        <v>0.9</v>
      </c>
      <c r="K35" s="92">
        <v>0.8</v>
      </c>
      <c r="L35" s="90"/>
    </row>
    <row r="36" spans="1:12" ht="35.25" customHeight="1" outlineLevel="1" x14ac:dyDescent="0.35">
      <c r="A36" s="86" t="s">
        <v>13</v>
      </c>
      <c r="B36" s="17" t="s">
        <v>78</v>
      </c>
      <c r="C36" s="18" t="s">
        <v>244</v>
      </c>
      <c r="D36" s="18" t="s">
        <v>82</v>
      </c>
      <c r="E36" s="14" t="s">
        <v>279</v>
      </c>
      <c r="F36" s="47" t="s">
        <v>57</v>
      </c>
      <c r="G36" s="31">
        <f>I35</f>
        <v>46095</v>
      </c>
      <c r="H36" s="37">
        <v>14</v>
      </c>
      <c r="I36" s="29">
        <f t="shared" si="2"/>
        <v>46109</v>
      </c>
      <c r="J36" s="66">
        <f t="shared" ca="1" si="3"/>
        <v>0</v>
      </c>
      <c r="K36" s="92">
        <v>0</v>
      </c>
      <c r="L36" s="90" t="s">
        <v>298</v>
      </c>
    </row>
    <row r="37" spans="1:12" ht="35.25" customHeight="1" outlineLevel="1" x14ac:dyDescent="0.35">
      <c r="A37" s="86" t="s">
        <v>13</v>
      </c>
      <c r="B37" s="17" t="s">
        <v>78</v>
      </c>
      <c r="C37" s="13" t="s">
        <v>245</v>
      </c>
      <c r="D37" s="13" t="s">
        <v>83</v>
      </c>
      <c r="E37" s="13" t="s">
        <v>370</v>
      </c>
      <c r="F37" s="47" t="s">
        <v>57</v>
      </c>
      <c r="G37" s="29">
        <f>I36</f>
        <v>46109</v>
      </c>
      <c r="H37" s="35">
        <v>7</v>
      </c>
      <c r="I37" s="29">
        <f t="shared" si="2"/>
        <v>46116</v>
      </c>
      <c r="J37" s="66">
        <f t="shared" ca="1" si="3"/>
        <v>0</v>
      </c>
      <c r="K37" s="92">
        <v>0</v>
      </c>
      <c r="L37" s="90"/>
    </row>
    <row r="38" spans="1:12" ht="24.75" customHeight="1" x14ac:dyDescent="0.35">
      <c r="A38" s="53"/>
      <c r="B38" s="53" t="s">
        <v>84</v>
      </c>
      <c r="C38" s="54"/>
      <c r="D38" s="54"/>
      <c r="E38" s="54"/>
      <c r="F38" s="55"/>
      <c r="G38" s="56">
        <f>MIN(G39:G46)</f>
        <v>46072</v>
      </c>
      <c r="H38" s="57">
        <f>I38-G38</f>
        <v>62</v>
      </c>
      <c r="I38" s="56">
        <f>MAX(I39:I46)</f>
        <v>46134</v>
      </c>
      <c r="J38" s="58"/>
      <c r="K38" s="81"/>
      <c r="L38" s="90"/>
    </row>
    <row r="39" spans="1:12" ht="41.5" customHeight="1" outlineLevel="1" x14ac:dyDescent="0.35">
      <c r="A39" s="85" t="s">
        <v>13</v>
      </c>
      <c r="B39" s="21" t="s">
        <v>84</v>
      </c>
      <c r="C39" s="19" t="s">
        <v>358</v>
      </c>
      <c r="D39" s="19" t="s">
        <v>359</v>
      </c>
      <c r="E39" s="13" t="s">
        <v>290</v>
      </c>
      <c r="F39" s="46" t="s">
        <v>9</v>
      </c>
      <c r="G39" s="38">
        <v>46072</v>
      </c>
      <c r="H39" s="27">
        <v>20</v>
      </c>
      <c r="I39" s="28">
        <f t="shared" si="2"/>
        <v>46092</v>
      </c>
      <c r="J39" s="65">
        <f t="shared" ca="1" si="3"/>
        <v>0.95</v>
      </c>
      <c r="K39" s="92"/>
      <c r="L39" s="90"/>
    </row>
    <row r="40" spans="1:12" ht="40.9" customHeight="1" outlineLevel="1" x14ac:dyDescent="0.35">
      <c r="A40" s="86" t="s">
        <v>13</v>
      </c>
      <c r="B40" s="14" t="s">
        <v>84</v>
      </c>
      <c r="C40" s="13" t="s">
        <v>360</v>
      </c>
      <c r="D40" s="13" t="s">
        <v>361</v>
      </c>
      <c r="E40" s="13" t="s">
        <v>290</v>
      </c>
      <c r="F40" s="47" t="s">
        <v>57</v>
      </c>
      <c r="G40" s="31">
        <f>I26</f>
        <v>46099</v>
      </c>
      <c r="H40" s="30">
        <v>7</v>
      </c>
      <c r="I40" s="29">
        <f t="shared" si="2"/>
        <v>46106</v>
      </c>
      <c r="J40" s="66">
        <f t="shared" ca="1" si="3"/>
        <v>0</v>
      </c>
      <c r="K40" s="92"/>
      <c r="L40" s="90" t="s">
        <v>365</v>
      </c>
    </row>
    <row r="41" spans="1:12" ht="35.25" customHeight="1" outlineLevel="1" x14ac:dyDescent="0.35">
      <c r="A41" s="86" t="s">
        <v>13</v>
      </c>
      <c r="B41" s="14" t="s">
        <v>84</v>
      </c>
      <c r="C41" s="13" t="s">
        <v>362</v>
      </c>
      <c r="D41" s="96" t="s">
        <v>363</v>
      </c>
      <c r="E41" s="13" t="s">
        <v>279</v>
      </c>
      <c r="F41" s="47" t="s">
        <v>9</v>
      </c>
      <c r="G41" s="39">
        <v>46077</v>
      </c>
      <c r="H41" s="30">
        <v>14</v>
      </c>
      <c r="I41" s="29">
        <f t="shared" si="2"/>
        <v>46091</v>
      </c>
      <c r="J41" s="66">
        <f t="shared" ca="1" si="3"/>
        <v>1</v>
      </c>
      <c r="K41" s="92"/>
      <c r="L41" s="90" t="s">
        <v>299</v>
      </c>
    </row>
    <row r="42" spans="1:12" ht="35.25" customHeight="1" outlineLevel="1" x14ac:dyDescent="0.35">
      <c r="A42" s="86" t="s">
        <v>13</v>
      </c>
      <c r="B42" s="14" t="s">
        <v>84</v>
      </c>
      <c r="C42" s="13" t="s">
        <v>364</v>
      </c>
      <c r="D42" s="13" t="s">
        <v>366</v>
      </c>
      <c r="E42" s="19" t="s">
        <v>16</v>
      </c>
      <c r="F42" s="47" t="s">
        <v>9</v>
      </c>
      <c r="G42" s="39">
        <v>46072</v>
      </c>
      <c r="H42" s="30">
        <v>20</v>
      </c>
      <c r="I42" s="29">
        <f t="shared" si="2"/>
        <v>46092</v>
      </c>
      <c r="J42" s="66">
        <f t="shared" ca="1" si="3"/>
        <v>0.95</v>
      </c>
      <c r="K42" s="92">
        <v>0.95</v>
      </c>
      <c r="L42" s="90" t="s">
        <v>352</v>
      </c>
    </row>
    <row r="43" spans="1:12" ht="35.25" customHeight="1" outlineLevel="1" x14ac:dyDescent="0.35">
      <c r="A43" s="87" t="s">
        <v>13</v>
      </c>
      <c r="B43" s="14" t="s">
        <v>84</v>
      </c>
      <c r="C43" s="14" t="s">
        <v>269</v>
      </c>
      <c r="D43" s="15" t="s">
        <v>367</v>
      </c>
      <c r="E43" s="19" t="s">
        <v>288</v>
      </c>
      <c r="F43" s="47" t="s">
        <v>9</v>
      </c>
      <c r="G43" s="39">
        <v>46072</v>
      </c>
      <c r="H43" s="32">
        <v>20</v>
      </c>
      <c r="I43" s="29">
        <f>G43+H43</f>
        <v>46092</v>
      </c>
      <c r="J43" s="66">
        <f t="shared" ca="1" si="3"/>
        <v>0.95</v>
      </c>
      <c r="K43" s="92">
        <v>0.95</v>
      </c>
      <c r="L43" s="90" t="s">
        <v>300</v>
      </c>
    </row>
    <row r="44" spans="1:12" ht="35.25" customHeight="1" outlineLevel="1" x14ac:dyDescent="0.35">
      <c r="A44" s="86" t="s">
        <v>13</v>
      </c>
      <c r="B44" s="14" t="s">
        <v>84</v>
      </c>
      <c r="C44" s="12" t="s">
        <v>85</v>
      </c>
      <c r="D44" s="12" t="s">
        <v>86</v>
      </c>
      <c r="E44" s="13" t="s">
        <v>290</v>
      </c>
      <c r="F44" s="50" t="s">
        <v>9</v>
      </c>
      <c r="G44" s="39">
        <v>46072</v>
      </c>
      <c r="H44" s="32">
        <v>42</v>
      </c>
      <c r="I44" s="29">
        <f>G44+H44</f>
        <v>46114</v>
      </c>
      <c r="J44" s="66">
        <f t="shared" ca="1" si="3"/>
        <v>0.45238095238095238</v>
      </c>
      <c r="K44" s="92"/>
      <c r="L44" s="90" t="s">
        <v>301</v>
      </c>
    </row>
    <row r="45" spans="1:12" ht="35.25" customHeight="1" outlineLevel="1" x14ac:dyDescent="0.35">
      <c r="A45" s="86" t="s">
        <v>13</v>
      </c>
      <c r="B45" s="14" t="s">
        <v>84</v>
      </c>
      <c r="C45" s="12" t="s">
        <v>87</v>
      </c>
      <c r="D45" s="12" t="s">
        <v>88</v>
      </c>
      <c r="E45" s="13" t="s">
        <v>290</v>
      </c>
      <c r="F45" s="50" t="s">
        <v>9</v>
      </c>
      <c r="G45" s="39">
        <v>46072</v>
      </c>
      <c r="H45" s="32">
        <v>42</v>
      </c>
      <c r="I45" s="29">
        <f>G45+H45</f>
        <v>46114</v>
      </c>
      <c r="J45" s="66">
        <f t="shared" ca="1" si="3"/>
        <v>0.45238095238095238</v>
      </c>
      <c r="K45" s="92"/>
      <c r="L45" s="90" t="s">
        <v>302</v>
      </c>
    </row>
    <row r="46" spans="1:12" ht="35.25" customHeight="1" outlineLevel="1" x14ac:dyDescent="0.35">
      <c r="A46" s="86" t="s">
        <v>13</v>
      </c>
      <c r="B46" s="17" t="s">
        <v>84</v>
      </c>
      <c r="C46" s="13" t="s">
        <v>270</v>
      </c>
      <c r="D46" s="13" t="s">
        <v>89</v>
      </c>
      <c r="E46" s="13" t="s">
        <v>370</v>
      </c>
      <c r="F46" s="47" t="s">
        <v>57</v>
      </c>
      <c r="G46" s="29">
        <f>MAX(I39:I45)</f>
        <v>46114</v>
      </c>
      <c r="H46" s="35">
        <v>20</v>
      </c>
      <c r="I46" s="29">
        <f>G46+H46</f>
        <v>46134</v>
      </c>
      <c r="J46" s="66">
        <f t="shared" ca="1" si="3"/>
        <v>0</v>
      </c>
      <c r="K46" s="97">
        <v>0</v>
      </c>
      <c r="L46" s="90"/>
    </row>
    <row r="47" spans="1:12" ht="24.75" customHeight="1" x14ac:dyDescent="0.35">
      <c r="A47" s="53"/>
      <c r="B47" s="53" t="s">
        <v>90</v>
      </c>
      <c r="C47" s="54"/>
      <c r="D47" s="54"/>
      <c r="E47" s="54"/>
      <c r="F47" s="55"/>
      <c r="G47" s="56">
        <f>MIN(G48:G56)</f>
        <v>46061</v>
      </c>
      <c r="H47" s="57">
        <f>I47-G47</f>
        <v>95</v>
      </c>
      <c r="I47" s="56">
        <f>MAX(I48:I56)</f>
        <v>46156</v>
      </c>
      <c r="J47" s="58"/>
      <c r="K47" s="81"/>
      <c r="L47" s="90"/>
    </row>
    <row r="48" spans="1:12" ht="33.4" customHeight="1" outlineLevel="1" x14ac:dyDescent="0.35">
      <c r="A48" s="86" t="s">
        <v>13</v>
      </c>
      <c r="B48" s="13" t="s">
        <v>90</v>
      </c>
      <c r="C48" s="13" t="s">
        <v>91</v>
      </c>
      <c r="D48" s="13" t="s">
        <v>92</v>
      </c>
      <c r="E48" s="13" t="s">
        <v>290</v>
      </c>
      <c r="F48" s="47" t="s">
        <v>10</v>
      </c>
      <c r="G48" s="40">
        <v>46061</v>
      </c>
      <c r="H48" s="30">
        <v>1</v>
      </c>
      <c r="I48" s="29">
        <f>G48+H48</f>
        <v>46062</v>
      </c>
      <c r="J48" s="66">
        <f t="shared" ca="1" si="3"/>
        <v>1</v>
      </c>
      <c r="K48" s="92">
        <v>1</v>
      </c>
      <c r="L48" s="90"/>
    </row>
    <row r="49" spans="1:12" ht="33.4" customHeight="1" outlineLevel="1" x14ac:dyDescent="0.35">
      <c r="A49" s="86" t="s">
        <v>13</v>
      </c>
      <c r="B49" s="13" t="s">
        <v>90</v>
      </c>
      <c r="C49" s="13" t="s">
        <v>93</v>
      </c>
      <c r="D49" s="13" t="s">
        <v>94</v>
      </c>
      <c r="E49" s="13" t="s">
        <v>290</v>
      </c>
      <c r="F49" s="47" t="s">
        <v>10</v>
      </c>
      <c r="G49" s="40">
        <v>46070</v>
      </c>
      <c r="H49" s="30">
        <v>1</v>
      </c>
      <c r="I49" s="29">
        <f t="shared" ref="I49:I56" si="4">G49+H49</f>
        <v>46071</v>
      </c>
      <c r="J49" s="66">
        <f t="shared" ref="J49:J56" ca="1" si="5">IFERROR(MAX(0,MIN(1,(TODAY()-G49)/(I49-G49))),"")</f>
        <v>1</v>
      </c>
      <c r="K49" s="92">
        <v>1</v>
      </c>
      <c r="L49" s="90"/>
    </row>
    <row r="50" spans="1:12" ht="33.4" customHeight="1" outlineLevel="1" x14ac:dyDescent="0.35">
      <c r="A50" s="86" t="s">
        <v>13</v>
      </c>
      <c r="B50" s="13" t="s">
        <v>90</v>
      </c>
      <c r="C50" s="13" t="s">
        <v>95</v>
      </c>
      <c r="D50" s="13" t="s">
        <v>96</v>
      </c>
      <c r="E50" s="13" t="s">
        <v>290</v>
      </c>
      <c r="F50" s="47" t="s">
        <v>10</v>
      </c>
      <c r="G50" s="40">
        <v>46086</v>
      </c>
      <c r="H50" s="30">
        <v>1</v>
      </c>
      <c r="I50" s="29">
        <f t="shared" si="4"/>
        <v>46087</v>
      </c>
      <c r="J50" s="66">
        <f t="shared" ca="1" si="5"/>
        <v>1</v>
      </c>
      <c r="K50" s="92">
        <v>1</v>
      </c>
      <c r="L50" s="90" t="s">
        <v>303</v>
      </c>
    </row>
    <row r="51" spans="1:12" ht="33.4" customHeight="1" outlineLevel="1" x14ac:dyDescent="0.35">
      <c r="A51" s="86" t="s">
        <v>13</v>
      </c>
      <c r="B51" s="13" t="s">
        <v>90</v>
      </c>
      <c r="C51" s="13" t="s">
        <v>246</v>
      </c>
      <c r="D51" s="13" t="s">
        <v>97</v>
      </c>
      <c r="E51" s="13" t="s">
        <v>290</v>
      </c>
      <c r="F51" s="47" t="s">
        <v>10</v>
      </c>
      <c r="G51" s="40">
        <v>46076</v>
      </c>
      <c r="H51" s="30">
        <v>14</v>
      </c>
      <c r="I51" s="29">
        <f t="shared" si="4"/>
        <v>46090</v>
      </c>
      <c r="J51" s="66">
        <f t="shared" ca="1" si="5"/>
        <v>1</v>
      </c>
      <c r="K51" s="92">
        <v>1</v>
      </c>
      <c r="L51" s="90" t="s">
        <v>368</v>
      </c>
    </row>
    <row r="52" spans="1:12" ht="33.4" customHeight="1" outlineLevel="1" x14ac:dyDescent="0.35">
      <c r="A52" s="86" t="s">
        <v>13</v>
      </c>
      <c r="B52" s="13" t="s">
        <v>90</v>
      </c>
      <c r="C52" s="13" t="s">
        <v>247</v>
      </c>
      <c r="D52" s="13" t="s">
        <v>369</v>
      </c>
      <c r="E52" s="13" t="s">
        <v>290</v>
      </c>
      <c r="F52" s="47" t="s">
        <v>9</v>
      </c>
      <c r="G52" s="29">
        <f>I51</f>
        <v>46090</v>
      </c>
      <c r="H52" s="30">
        <v>7</v>
      </c>
      <c r="I52" s="29">
        <f t="shared" si="4"/>
        <v>46097</v>
      </c>
      <c r="J52" s="66">
        <f t="shared" ca="1" si="5"/>
        <v>0.14285714285714285</v>
      </c>
      <c r="K52" s="92">
        <v>0.25</v>
      </c>
      <c r="L52" s="90"/>
    </row>
    <row r="53" spans="1:12" ht="33.4" customHeight="1" outlineLevel="1" x14ac:dyDescent="0.35">
      <c r="A53" s="86" t="s">
        <v>13</v>
      </c>
      <c r="B53" s="13" t="s">
        <v>90</v>
      </c>
      <c r="C53" s="13" t="s">
        <v>248</v>
      </c>
      <c r="D53" s="13" t="s">
        <v>98</v>
      </c>
      <c r="E53" s="13" t="s">
        <v>290</v>
      </c>
      <c r="F53" s="47" t="s">
        <v>10</v>
      </c>
      <c r="G53" s="40">
        <v>46076</v>
      </c>
      <c r="H53" s="30">
        <v>14</v>
      </c>
      <c r="I53" s="29">
        <f t="shared" si="4"/>
        <v>46090</v>
      </c>
      <c r="J53" s="66">
        <f t="shared" ca="1" si="5"/>
        <v>1</v>
      </c>
      <c r="K53" s="92">
        <v>1</v>
      </c>
      <c r="L53" s="90" t="s">
        <v>368</v>
      </c>
    </row>
    <row r="54" spans="1:12" ht="33.4" customHeight="1" outlineLevel="1" x14ac:dyDescent="0.35">
      <c r="A54" s="86" t="s">
        <v>13</v>
      </c>
      <c r="B54" s="13" t="s">
        <v>90</v>
      </c>
      <c r="C54" s="13" t="s">
        <v>249</v>
      </c>
      <c r="D54" s="13" t="s">
        <v>369</v>
      </c>
      <c r="E54" s="13" t="s">
        <v>290</v>
      </c>
      <c r="F54" s="47" t="s">
        <v>9</v>
      </c>
      <c r="G54" s="29">
        <f>I53</f>
        <v>46090</v>
      </c>
      <c r="H54" s="30">
        <v>7</v>
      </c>
      <c r="I54" s="29">
        <f t="shared" si="4"/>
        <v>46097</v>
      </c>
      <c r="J54" s="66">
        <f t="shared" ca="1" si="5"/>
        <v>0.14285714285714285</v>
      </c>
      <c r="K54" s="92">
        <v>0.25</v>
      </c>
      <c r="L54" s="90"/>
    </row>
    <row r="55" spans="1:12" ht="33.4" customHeight="1" outlineLevel="1" x14ac:dyDescent="0.35">
      <c r="A55" s="20" t="s">
        <v>13</v>
      </c>
      <c r="B55" s="13" t="s">
        <v>90</v>
      </c>
      <c r="C55" s="13" t="s">
        <v>99</v>
      </c>
      <c r="D55" s="13" t="s">
        <v>100</v>
      </c>
      <c r="E55" s="13" t="s">
        <v>35</v>
      </c>
      <c r="F55" s="47" t="s">
        <v>57</v>
      </c>
      <c r="G55" s="98">
        <v>46150</v>
      </c>
      <c r="H55" s="30">
        <v>1</v>
      </c>
      <c r="I55" s="29">
        <f t="shared" si="4"/>
        <v>46151</v>
      </c>
      <c r="J55" s="66">
        <f t="shared" ca="1" si="5"/>
        <v>0</v>
      </c>
      <c r="K55" s="92">
        <v>0</v>
      </c>
      <c r="L55" s="90"/>
    </row>
    <row r="56" spans="1:12" ht="33.4" customHeight="1" outlineLevel="1" x14ac:dyDescent="0.35">
      <c r="A56" s="86" t="s">
        <v>13</v>
      </c>
      <c r="B56" s="13" t="s">
        <v>90</v>
      </c>
      <c r="C56" s="13" t="s">
        <v>101</v>
      </c>
      <c r="D56" s="12" t="s">
        <v>102</v>
      </c>
      <c r="E56" s="13" t="s">
        <v>31</v>
      </c>
      <c r="F56" s="47" t="s">
        <v>57</v>
      </c>
      <c r="G56" s="29">
        <f>I55</f>
        <v>46151</v>
      </c>
      <c r="H56" s="30">
        <v>5</v>
      </c>
      <c r="I56" s="29">
        <f t="shared" si="4"/>
        <v>46156</v>
      </c>
      <c r="J56" s="66">
        <f t="shared" ca="1" si="5"/>
        <v>0</v>
      </c>
      <c r="K56" s="92">
        <v>0</v>
      </c>
      <c r="L56" s="90" t="s">
        <v>304</v>
      </c>
    </row>
    <row r="57" spans="1:12" ht="24.75" customHeight="1" x14ac:dyDescent="0.35">
      <c r="A57" s="53"/>
      <c r="B57" s="53" t="s">
        <v>103</v>
      </c>
      <c r="C57" s="54"/>
      <c r="D57" s="54"/>
      <c r="E57" s="54"/>
      <c r="F57" s="55"/>
      <c r="G57" s="56">
        <f>MIN(G58:G76)</f>
        <v>46082</v>
      </c>
      <c r="H57" s="57">
        <f>I57-G57</f>
        <v>143</v>
      </c>
      <c r="I57" s="56">
        <f>MAX(I58:I76)</f>
        <v>46225</v>
      </c>
      <c r="J57" s="58"/>
      <c r="K57" s="81"/>
      <c r="L57" s="90"/>
    </row>
    <row r="58" spans="1:12" ht="43.9" customHeight="1" outlineLevel="1" x14ac:dyDescent="0.35">
      <c r="A58" s="17" t="s">
        <v>103</v>
      </c>
      <c r="B58" s="20" t="s">
        <v>17</v>
      </c>
      <c r="C58" s="13" t="s">
        <v>104</v>
      </c>
      <c r="D58" s="13" t="s">
        <v>286</v>
      </c>
      <c r="E58" s="13" t="s">
        <v>278</v>
      </c>
      <c r="F58" s="47" t="s">
        <v>10</v>
      </c>
      <c r="G58" s="40">
        <v>46082</v>
      </c>
      <c r="H58" s="30">
        <v>14</v>
      </c>
      <c r="I58" s="29">
        <f t="shared" ref="I58:I86" si="6">G58+H58</f>
        <v>46096</v>
      </c>
      <c r="J58" s="66">
        <f t="shared" ca="1" si="3"/>
        <v>0.6428571428571429</v>
      </c>
      <c r="K58" s="92"/>
      <c r="L58" s="90" t="s">
        <v>339</v>
      </c>
    </row>
    <row r="59" spans="1:12" ht="37.9" customHeight="1" outlineLevel="1" x14ac:dyDescent="0.35">
      <c r="A59" s="17" t="s">
        <v>103</v>
      </c>
      <c r="B59" s="20" t="s">
        <v>17</v>
      </c>
      <c r="C59" s="13" t="s">
        <v>105</v>
      </c>
      <c r="D59" s="13" t="s">
        <v>106</v>
      </c>
      <c r="E59" s="13" t="s">
        <v>279</v>
      </c>
      <c r="F59" s="47" t="s">
        <v>57</v>
      </c>
      <c r="G59" s="29">
        <f>I58</f>
        <v>46096</v>
      </c>
      <c r="H59" s="30">
        <v>7</v>
      </c>
      <c r="I59" s="29">
        <f t="shared" si="6"/>
        <v>46103</v>
      </c>
      <c r="J59" s="66">
        <f t="shared" ca="1" si="3"/>
        <v>0</v>
      </c>
      <c r="K59" s="92">
        <v>0</v>
      </c>
      <c r="L59" s="90" t="s">
        <v>335</v>
      </c>
    </row>
    <row r="60" spans="1:12" ht="37.9" customHeight="1" outlineLevel="1" x14ac:dyDescent="0.35">
      <c r="A60" s="17" t="s">
        <v>103</v>
      </c>
      <c r="B60" s="20" t="s">
        <v>17</v>
      </c>
      <c r="C60" s="13" t="s">
        <v>107</v>
      </c>
      <c r="D60" s="12" t="s">
        <v>108</v>
      </c>
      <c r="E60" s="13" t="s">
        <v>20</v>
      </c>
      <c r="F60" s="47" t="s">
        <v>57</v>
      </c>
      <c r="G60" s="40">
        <v>46096</v>
      </c>
      <c r="H60" s="30">
        <v>14</v>
      </c>
      <c r="I60" s="29">
        <f t="shared" si="6"/>
        <v>46110</v>
      </c>
      <c r="J60" s="66">
        <f t="shared" ca="1" si="3"/>
        <v>0</v>
      </c>
      <c r="K60" s="92">
        <v>0</v>
      </c>
      <c r="L60" s="90" t="s">
        <v>305</v>
      </c>
    </row>
    <row r="61" spans="1:12" ht="41.5" customHeight="1" outlineLevel="1" x14ac:dyDescent="0.35">
      <c r="A61" s="13" t="s">
        <v>103</v>
      </c>
      <c r="B61" s="20" t="s">
        <v>17</v>
      </c>
      <c r="C61" s="13" t="s">
        <v>111</v>
      </c>
      <c r="D61" s="13" t="s">
        <v>112</v>
      </c>
      <c r="E61" s="17" t="s">
        <v>31</v>
      </c>
      <c r="F61" s="47" t="s">
        <v>57</v>
      </c>
      <c r="G61" s="40">
        <v>46114</v>
      </c>
      <c r="H61" s="30">
        <v>7</v>
      </c>
      <c r="I61" s="29">
        <f t="shared" ref="I61" si="7">G61+H61</f>
        <v>46121</v>
      </c>
      <c r="J61" s="66">
        <f t="shared" ref="J61" ca="1" si="8">IFERROR(MAX(0,MIN(1,(TODAY()-G61)/(I61-G61))),"")</f>
        <v>0</v>
      </c>
      <c r="K61" s="92">
        <v>0</v>
      </c>
      <c r="L61" s="90"/>
    </row>
    <row r="62" spans="1:12" ht="45.25" customHeight="1" outlineLevel="1" x14ac:dyDescent="0.35">
      <c r="A62" s="17" t="s">
        <v>103</v>
      </c>
      <c r="B62" s="20" t="s">
        <v>17</v>
      </c>
      <c r="C62" s="13" t="s">
        <v>110</v>
      </c>
      <c r="D62" s="13" t="s">
        <v>280</v>
      </c>
      <c r="E62" s="17" t="s">
        <v>20</v>
      </c>
      <c r="F62" s="47" t="s">
        <v>57</v>
      </c>
      <c r="G62" s="29">
        <f>I61</f>
        <v>46121</v>
      </c>
      <c r="H62" s="30">
        <v>14</v>
      </c>
      <c r="I62" s="29">
        <f>G62+H62</f>
        <v>46135</v>
      </c>
      <c r="J62" s="66">
        <f ca="1">IFERROR(MAX(0,MIN(1,(TODAY()-G62)/(I62-G62))),"")</f>
        <v>0</v>
      </c>
      <c r="K62" s="92"/>
      <c r="L62" s="90" t="s">
        <v>350</v>
      </c>
    </row>
    <row r="63" spans="1:12" ht="41.65" customHeight="1" outlineLevel="1" x14ac:dyDescent="0.35">
      <c r="A63" s="17" t="s">
        <v>103</v>
      </c>
      <c r="B63" s="20" t="s">
        <v>17</v>
      </c>
      <c r="C63" s="13" t="s">
        <v>113</v>
      </c>
      <c r="D63" s="13" t="s">
        <v>281</v>
      </c>
      <c r="E63" s="13" t="s">
        <v>20</v>
      </c>
      <c r="F63" s="47" t="s">
        <v>57</v>
      </c>
      <c r="G63" s="40">
        <v>46114</v>
      </c>
      <c r="H63" s="30">
        <v>14</v>
      </c>
      <c r="I63" s="29">
        <f t="shared" si="6"/>
        <v>46128</v>
      </c>
      <c r="J63" s="66">
        <f t="shared" ca="1" si="3"/>
        <v>0</v>
      </c>
      <c r="K63" s="92">
        <v>0</v>
      </c>
      <c r="L63" s="90" t="s">
        <v>306</v>
      </c>
    </row>
    <row r="64" spans="1:12" ht="37.9" customHeight="1" outlineLevel="1" x14ac:dyDescent="0.35">
      <c r="A64" s="17" t="s">
        <v>103</v>
      </c>
      <c r="B64" s="20" t="s">
        <v>17</v>
      </c>
      <c r="C64" s="13" t="s">
        <v>114</v>
      </c>
      <c r="D64" s="13" t="s">
        <v>115</v>
      </c>
      <c r="E64" s="13" t="s">
        <v>20</v>
      </c>
      <c r="F64" s="47" t="s">
        <v>57</v>
      </c>
      <c r="G64" s="40">
        <v>46142</v>
      </c>
      <c r="H64" s="30">
        <v>14</v>
      </c>
      <c r="I64" s="29">
        <f t="shared" si="6"/>
        <v>46156</v>
      </c>
      <c r="J64" s="66">
        <f t="shared" ca="1" si="3"/>
        <v>0</v>
      </c>
      <c r="K64" s="92">
        <v>0</v>
      </c>
      <c r="L64" s="90" t="s">
        <v>331</v>
      </c>
    </row>
    <row r="65" spans="1:12" ht="43.25" customHeight="1" outlineLevel="1" x14ac:dyDescent="0.35">
      <c r="A65" s="17" t="s">
        <v>103</v>
      </c>
      <c r="B65" s="20" t="s">
        <v>17</v>
      </c>
      <c r="C65" s="13" t="s">
        <v>116</v>
      </c>
      <c r="D65" s="13" t="s">
        <v>282</v>
      </c>
      <c r="E65" s="13" t="s">
        <v>20</v>
      </c>
      <c r="F65" s="47" t="s">
        <v>57</v>
      </c>
      <c r="G65" s="34">
        <v>46114</v>
      </c>
      <c r="H65" s="30">
        <v>14</v>
      </c>
      <c r="I65" s="29">
        <f>G65+H65</f>
        <v>46128</v>
      </c>
      <c r="J65" s="66">
        <f t="shared" ca="1" si="3"/>
        <v>0</v>
      </c>
      <c r="K65" s="92">
        <v>0</v>
      </c>
      <c r="L65" s="90" t="s">
        <v>307</v>
      </c>
    </row>
    <row r="66" spans="1:12" ht="37.9" customHeight="1" outlineLevel="1" x14ac:dyDescent="0.35">
      <c r="A66" s="17" t="s">
        <v>103</v>
      </c>
      <c r="B66" s="20" t="s">
        <v>15</v>
      </c>
      <c r="C66" s="13" t="s">
        <v>117</v>
      </c>
      <c r="D66" s="13" t="s">
        <v>118</v>
      </c>
      <c r="E66" s="13" t="s">
        <v>279</v>
      </c>
      <c r="F66" s="47" t="s">
        <v>57</v>
      </c>
      <c r="G66" s="40">
        <v>46127</v>
      </c>
      <c r="H66" s="30">
        <v>7</v>
      </c>
      <c r="I66" s="29">
        <f t="shared" si="6"/>
        <v>46134</v>
      </c>
      <c r="J66" s="66">
        <f t="shared" ca="1" si="3"/>
        <v>0</v>
      </c>
      <c r="K66" s="92">
        <v>0</v>
      </c>
      <c r="L66" s="90" t="s">
        <v>308</v>
      </c>
    </row>
    <row r="67" spans="1:12" ht="37.9" customHeight="1" outlineLevel="1" x14ac:dyDescent="0.35">
      <c r="A67" s="17" t="s">
        <v>103</v>
      </c>
      <c r="B67" s="20" t="s">
        <v>15</v>
      </c>
      <c r="C67" s="13" t="s">
        <v>119</v>
      </c>
      <c r="D67" s="13" t="s">
        <v>120</v>
      </c>
      <c r="E67" s="13" t="s">
        <v>279</v>
      </c>
      <c r="F67" s="47" t="s">
        <v>57</v>
      </c>
      <c r="G67" s="40">
        <v>46127</v>
      </c>
      <c r="H67" s="30">
        <v>7</v>
      </c>
      <c r="I67" s="29">
        <f t="shared" si="6"/>
        <v>46134</v>
      </c>
      <c r="J67" s="66">
        <f t="shared" ca="1" si="3"/>
        <v>0</v>
      </c>
      <c r="K67" s="92">
        <v>0</v>
      </c>
      <c r="L67" s="90"/>
    </row>
    <row r="68" spans="1:12" ht="37.9" customHeight="1" outlineLevel="1" x14ac:dyDescent="0.35">
      <c r="A68" s="17" t="s">
        <v>103</v>
      </c>
      <c r="B68" s="20" t="s">
        <v>15</v>
      </c>
      <c r="C68" s="13" t="s">
        <v>121</v>
      </c>
      <c r="D68" s="13" t="s">
        <v>122</v>
      </c>
      <c r="E68" s="13" t="s">
        <v>279</v>
      </c>
      <c r="F68" s="47" t="s">
        <v>57</v>
      </c>
      <c r="G68" s="29">
        <f>I56</f>
        <v>46156</v>
      </c>
      <c r="H68" s="30">
        <v>60</v>
      </c>
      <c r="I68" s="29">
        <f t="shared" si="6"/>
        <v>46216</v>
      </c>
      <c r="J68" s="66">
        <f t="shared" ca="1" si="3"/>
        <v>0</v>
      </c>
      <c r="K68" s="92">
        <v>0</v>
      </c>
      <c r="L68" s="90"/>
    </row>
    <row r="69" spans="1:12" ht="37.9" customHeight="1" outlineLevel="1" x14ac:dyDescent="0.35">
      <c r="A69" s="17" t="s">
        <v>103</v>
      </c>
      <c r="B69" s="20" t="s">
        <v>17</v>
      </c>
      <c r="C69" s="13" t="s">
        <v>250</v>
      </c>
      <c r="D69" s="13" t="s">
        <v>283</v>
      </c>
      <c r="E69" s="13" t="s">
        <v>20</v>
      </c>
      <c r="F69" s="47" t="s">
        <v>57</v>
      </c>
      <c r="G69" s="34">
        <v>46114</v>
      </c>
      <c r="H69" s="30">
        <v>14</v>
      </c>
      <c r="I69" s="29">
        <f t="shared" si="6"/>
        <v>46128</v>
      </c>
      <c r="J69" s="66">
        <f t="shared" ca="1" si="3"/>
        <v>0</v>
      </c>
      <c r="K69" s="92">
        <v>0</v>
      </c>
      <c r="L69" s="90" t="s">
        <v>309</v>
      </c>
    </row>
    <row r="70" spans="1:12" ht="37.9" customHeight="1" outlineLevel="1" x14ac:dyDescent="0.35">
      <c r="A70" s="17" t="s">
        <v>103</v>
      </c>
      <c r="B70" s="20" t="s">
        <v>17</v>
      </c>
      <c r="C70" s="13" t="s">
        <v>251</v>
      </c>
      <c r="D70" s="13" t="s">
        <v>123</v>
      </c>
      <c r="E70" s="13" t="s">
        <v>278</v>
      </c>
      <c r="F70" s="47" t="s">
        <v>57</v>
      </c>
      <c r="G70" s="40">
        <v>46127</v>
      </c>
      <c r="H70" s="30">
        <v>21</v>
      </c>
      <c r="I70" s="29">
        <f t="shared" si="6"/>
        <v>46148</v>
      </c>
      <c r="J70" s="66">
        <f t="shared" ca="1" si="3"/>
        <v>0</v>
      </c>
      <c r="K70" s="92">
        <v>0</v>
      </c>
      <c r="L70" s="90" t="s">
        <v>332</v>
      </c>
    </row>
    <row r="71" spans="1:12" ht="37.9" customHeight="1" outlineLevel="1" x14ac:dyDescent="0.35">
      <c r="A71" s="17" t="s">
        <v>103</v>
      </c>
      <c r="B71" s="20" t="s">
        <v>17</v>
      </c>
      <c r="C71" s="13" t="s">
        <v>252</v>
      </c>
      <c r="D71" s="13" t="s">
        <v>124</v>
      </c>
      <c r="E71" s="13" t="s">
        <v>278</v>
      </c>
      <c r="F71" s="47" t="s">
        <v>57</v>
      </c>
      <c r="G71" s="29">
        <f>I70</f>
        <v>46148</v>
      </c>
      <c r="H71" s="30">
        <v>21</v>
      </c>
      <c r="I71" s="29">
        <f t="shared" si="6"/>
        <v>46169</v>
      </c>
      <c r="J71" s="66">
        <f t="shared" ca="1" si="3"/>
        <v>0</v>
      </c>
      <c r="K71" s="92">
        <v>0</v>
      </c>
      <c r="L71" s="90" t="s">
        <v>310</v>
      </c>
    </row>
    <row r="72" spans="1:12" ht="37.9" customHeight="1" outlineLevel="1" x14ac:dyDescent="0.35">
      <c r="A72" s="17" t="s">
        <v>103</v>
      </c>
      <c r="B72" s="20" t="s">
        <v>15</v>
      </c>
      <c r="C72" s="13" t="s">
        <v>125</v>
      </c>
      <c r="D72" s="13" t="s">
        <v>285</v>
      </c>
      <c r="E72" s="13" t="s">
        <v>279</v>
      </c>
      <c r="F72" s="47" t="s">
        <v>57</v>
      </c>
      <c r="G72" s="29">
        <f>I68</f>
        <v>46216</v>
      </c>
      <c r="H72" s="30">
        <v>1</v>
      </c>
      <c r="I72" s="29">
        <f t="shared" si="6"/>
        <v>46217</v>
      </c>
      <c r="J72" s="66">
        <f t="shared" ca="1" si="3"/>
        <v>0</v>
      </c>
      <c r="K72" s="92">
        <v>0</v>
      </c>
      <c r="L72" s="90" t="s">
        <v>311</v>
      </c>
    </row>
    <row r="73" spans="1:12" ht="37.9" customHeight="1" outlineLevel="1" x14ac:dyDescent="0.35">
      <c r="A73" s="17" t="s">
        <v>103</v>
      </c>
      <c r="B73" s="20" t="s">
        <v>17</v>
      </c>
      <c r="C73" s="13" t="s">
        <v>126</v>
      </c>
      <c r="D73" s="13" t="s">
        <v>127</v>
      </c>
      <c r="E73" s="17" t="s">
        <v>20</v>
      </c>
      <c r="F73" s="47" t="s">
        <v>57</v>
      </c>
      <c r="G73" s="29">
        <f>I72</f>
        <v>46217</v>
      </c>
      <c r="H73" s="30">
        <v>2</v>
      </c>
      <c r="I73" s="29">
        <f t="shared" si="6"/>
        <v>46219</v>
      </c>
      <c r="J73" s="66">
        <f t="shared" ca="1" si="3"/>
        <v>0</v>
      </c>
      <c r="K73" s="92">
        <v>0</v>
      </c>
      <c r="L73" s="90" t="s">
        <v>333</v>
      </c>
    </row>
    <row r="74" spans="1:12" ht="37.9" customHeight="1" outlineLevel="1" x14ac:dyDescent="0.35">
      <c r="A74" s="17" t="s">
        <v>103</v>
      </c>
      <c r="B74" s="20" t="s">
        <v>17</v>
      </c>
      <c r="C74" s="13" t="s">
        <v>253</v>
      </c>
      <c r="D74" s="13" t="s">
        <v>215</v>
      </c>
      <c r="E74" s="13" t="s">
        <v>278</v>
      </c>
      <c r="F74" s="47" t="s">
        <v>57</v>
      </c>
      <c r="G74" s="29">
        <f>I73</f>
        <v>46219</v>
      </c>
      <c r="H74" s="30">
        <v>3</v>
      </c>
      <c r="I74" s="29">
        <f t="shared" si="6"/>
        <v>46222</v>
      </c>
      <c r="J74" s="66">
        <f t="shared" ca="1" si="3"/>
        <v>0</v>
      </c>
      <c r="K74" s="92">
        <v>0</v>
      </c>
      <c r="L74" s="90"/>
    </row>
    <row r="75" spans="1:12" ht="37.9" customHeight="1" outlineLevel="1" x14ac:dyDescent="0.35">
      <c r="A75" s="17" t="s">
        <v>103</v>
      </c>
      <c r="B75" s="20" t="s">
        <v>17</v>
      </c>
      <c r="C75" s="13" t="s">
        <v>254</v>
      </c>
      <c r="D75" s="13" t="s">
        <v>213</v>
      </c>
      <c r="E75" s="13" t="s">
        <v>35</v>
      </c>
      <c r="F75" s="47" t="s">
        <v>57</v>
      </c>
      <c r="G75" s="29">
        <f>I73</f>
        <v>46219</v>
      </c>
      <c r="H75" s="30">
        <v>3</v>
      </c>
      <c r="I75" s="29">
        <f t="shared" si="6"/>
        <v>46222</v>
      </c>
      <c r="J75" s="66">
        <f t="shared" ca="1" si="3"/>
        <v>0</v>
      </c>
      <c r="K75" s="92">
        <v>0</v>
      </c>
      <c r="L75" s="90"/>
    </row>
    <row r="76" spans="1:12" ht="40.9" customHeight="1" outlineLevel="1" x14ac:dyDescent="0.35">
      <c r="A76" s="17" t="s">
        <v>103</v>
      </c>
      <c r="B76" s="20" t="s">
        <v>17</v>
      </c>
      <c r="C76" s="13" t="s">
        <v>128</v>
      </c>
      <c r="D76" s="13" t="s">
        <v>129</v>
      </c>
      <c r="E76" s="13" t="s">
        <v>278</v>
      </c>
      <c r="F76" s="47" t="s">
        <v>57</v>
      </c>
      <c r="G76" s="29">
        <f>I74</f>
        <v>46222</v>
      </c>
      <c r="H76" s="30">
        <v>3</v>
      </c>
      <c r="I76" s="29">
        <f t="shared" si="6"/>
        <v>46225</v>
      </c>
      <c r="J76" s="66">
        <f t="shared" ca="1" si="3"/>
        <v>0</v>
      </c>
      <c r="K76" s="92">
        <v>0</v>
      </c>
      <c r="L76" s="90" t="s">
        <v>312</v>
      </c>
    </row>
    <row r="77" spans="1:12" ht="24.75" customHeight="1" x14ac:dyDescent="0.35">
      <c r="A77" s="53"/>
      <c r="B77" s="53" t="s">
        <v>130</v>
      </c>
      <c r="C77" s="54"/>
      <c r="D77" s="54"/>
      <c r="E77" s="54"/>
      <c r="F77" s="55"/>
      <c r="G77" s="56">
        <f>MIN(G78:G86)</f>
        <v>46225</v>
      </c>
      <c r="H77" s="57">
        <f>I77-G77</f>
        <v>14</v>
      </c>
      <c r="I77" s="56">
        <f>MAX(I78:I86)</f>
        <v>46239</v>
      </c>
      <c r="J77" s="58"/>
      <c r="K77" s="81"/>
      <c r="L77" s="90"/>
    </row>
    <row r="78" spans="1:12" ht="35.25" customHeight="1" outlineLevel="1" x14ac:dyDescent="0.35">
      <c r="A78" s="22" t="s">
        <v>130</v>
      </c>
      <c r="B78" s="80" t="s">
        <v>214</v>
      </c>
      <c r="C78" s="19" t="s">
        <v>131</v>
      </c>
      <c r="D78" s="19" t="s">
        <v>132</v>
      </c>
      <c r="E78" s="19" t="s">
        <v>273</v>
      </c>
      <c r="F78" s="47" t="s">
        <v>57</v>
      </c>
      <c r="G78" s="28">
        <f>I76</f>
        <v>46225</v>
      </c>
      <c r="H78" s="27">
        <v>7</v>
      </c>
      <c r="I78" s="28">
        <f t="shared" si="6"/>
        <v>46232</v>
      </c>
      <c r="J78" s="65">
        <f t="shared" ref="J78:J129" ca="1" si="9">IFERROR(MAX(0,MIN(1,(TODAY()-G78)/(I78-G78))),"")</f>
        <v>0</v>
      </c>
      <c r="K78" s="92">
        <v>0</v>
      </c>
      <c r="L78" s="90"/>
    </row>
    <row r="79" spans="1:12" ht="35.25" customHeight="1" outlineLevel="1" x14ac:dyDescent="0.35">
      <c r="A79" s="17" t="s">
        <v>130</v>
      </c>
      <c r="B79" s="20" t="s">
        <v>15</v>
      </c>
      <c r="C79" s="13" t="s">
        <v>133</v>
      </c>
      <c r="D79" s="13" t="s">
        <v>134</v>
      </c>
      <c r="E79" s="13" t="s">
        <v>32</v>
      </c>
      <c r="F79" s="47" t="s">
        <v>57</v>
      </c>
      <c r="G79" s="29">
        <f>I76</f>
        <v>46225</v>
      </c>
      <c r="H79" s="30">
        <v>7</v>
      </c>
      <c r="I79" s="29">
        <f t="shared" si="6"/>
        <v>46232</v>
      </c>
      <c r="J79" s="66">
        <f t="shared" ca="1" si="9"/>
        <v>0</v>
      </c>
      <c r="K79" s="92">
        <v>0</v>
      </c>
      <c r="L79" s="90" t="s">
        <v>313</v>
      </c>
    </row>
    <row r="80" spans="1:12" ht="35.25" customHeight="1" outlineLevel="1" x14ac:dyDescent="0.35">
      <c r="A80" s="17" t="s">
        <v>130</v>
      </c>
      <c r="B80" s="20" t="s">
        <v>15</v>
      </c>
      <c r="C80" s="13" t="s">
        <v>135</v>
      </c>
      <c r="D80" s="13" t="s">
        <v>136</v>
      </c>
      <c r="E80" s="13" t="s">
        <v>32</v>
      </c>
      <c r="F80" s="47" t="s">
        <v>57</v>
      </c>
      <c r="G80" s="29">
        <f>I76</f>
        <v>46225</v>
      </c>
      <c r="H80" s="30">
        <v>14</v>
      </c>
      <c r="I80" s="29">
        <f t="shared" si="6"/>
        <v>46239</v>
      </c>
      <c r="J80" s="66">
        <f t="shared" ca="1" si="9"/>
        <v>0</v>
      </c>
      <c r="K80" s="92">
        <v>0</v>
      </c>
      <c r="L80" s="90"/>
    </row>
    <row r="81" spans="1:12" ht="35.25" customHeight="1" outlineLevel="1" x14ac:dyDescent="0.35">
      <c r="A81" s="17" t="s">
        <v>130</v>
      </c>
      <c r="B81" s="20" t="s">
        <v>214</v>
      </c>
      <c r="C81" s="13" t="s">
        <v>137</v>
      </c>
      <c r="D81" s="13" t="s">
        <v>138</v>
      </c>
      <c r="E81" s="13" t="s">
        <v>273</v>
      </c>
      <c r="F81" s="47" t="s">
        <v>57</v>
      </c>
      <c r="G81" s="29">
        <f>I76</f>
        <v>46225</v>
      </c>
      <c r="H81" s="30">
        <v>7</v>
      </c>
      <c r="I81" s="29">
        <f t="shared" si="6"/>
        <v>46232</v>
      </c>
      <c r="J81" s="66">
        <f t="shared" ca="1" si="9"/>
        <v>0</v>
      </c>
      <c r="K81" s="92">
        <v>0</v>
      </c>
      <c r="L81" s="90" t="s">
        <v>314</v>
      </c>
    </row>
    <row r="82" spans="1:12" ht="35.25" customHeight="1" outlineLevel="1" x14ac:dyDescent="0.35">
      <c r="A82" s="17" t="s">
        <v>130</v>
      </c>
      <c r="B82" s="20" t="s">
        <v>23</v>
      </c>
      <c r="C82" s="13" t="s">
        <v>139</v>
      </c>
      <c r="D82" s="13" t="s">
        <v>140</v>
      </c>
      <c r="E82" s="22" t="s">
        <v>26</v>
      </c>
      <c r="F82" s="47" t="s">
        <v>57</v>
      </c>
      <c r="G82" s="29">
        <f>I76</f>
        <v>46225</v>
      </c>
      <c r="H82" s="30">
        <v>7</v>
      </c>
      <c r="I82" s="29">
        <f t="shared" si="6"/>
        <v>46232</v>
      </c>
      <c r="J82" s="66">
        <f t="shared" ca="1" si="9"/>
        <v>0</v>
      </c>
      <c r="K82" s="92">
        <v>0</v>
      </c>
      <c r="L82" s="90" t="s">
        <v>315</v>
      </c>
    </row>
    <row r="83" spans="1:12" ht="35.25" customHeight="1" outlineLevel="1" x14ac:dyDescent="0.35">
      <c r="A83" s="17" t="s">
        <v>130</v>
      </c>
      <c r="B83" s="20" t="s">
        <v>214</v>
      </c>
      <c r="C83" s="13" t="s">
        <v>141</v>
      </c>
      <c r="D83" s="13" t="s">
        <v>142</v>
      </c>
      <c r="E83" s="13" t="s">
        <v>273</v>
      </c>
      <c r="F83" s="47" t="s">
        <v>57</v>
      </c>
      <c r="G83" s="29">
        <f>I76</f>
        <v>46225</v>
      </c>
      <c r="H83" s="30">
        <v>7</v>
      </c>
      <c r="I83" s="29">
        <f t="shared" si="6"/>
        <v>46232</v>
      </c>
      <c r="J83" s="66">
        <f ca="1">IFERROR(MAX(0,MIN(1,(TODAY()-G83)/(I83-G83))),"")</f>
        <v>0</v>
      </c>
      <c r="K83" s="92">
        <v>0</v>
      </c>
      <c r="L83" s="90"/>
    </row>
    <row r="84" spans="1:12" ht="37.9" customHeight="1" outlineLevel="1" x14ac:dyDescent="0.35">
      <c r="A84" s="17" t="s">
        <v>130</v>
      </c>
      <c r="B84" s="20" t="s">
        <v>214</v>
      </c>
      <c r="C84" s="13" t="s">
        <v>143</v>
      </c>
      <c r="D84" s="13" t="s">
        <v>144</v>
      </c>
      <c r="E84" s="13" t="s">
        <v>273</v>
      </c>
      <c r="F84" s="47" t="s">
        <v>57</v>
      </c>
      <c r="G84" s="29">
        <f>I76</f>
        <v>46225</v>
      </c>
      <c r="H84" s="30">
        <v>14</v>
      </c>
      <c r="I84" s="29">
        <f t="shared" si="6"/>
        <v>46239</v>
      </c>
      <c r="J84" s="66">
        <f t="shared" ca="1" si="9"/>
        <v>0</v>
      </c>
      <c r="K84" s="92">
        <v>0</v>
      </c>
      <c r="L84" s="90"/>
    </row>
    <row r="85" spans="1:12" ht="35.25" customHeight="1" outlineLevel="1" x14ac:dyDescent="0.35">
      <c r="A85" s="17" t="s">
        <v>130</v>
      </c>
      <c r="B85" s="20" t="s">
        <v>23</v>
      </c>
      <c r="C85" s="13" t="s">
        <v>145</v>
      </c>
      <c r="D85" s="13" t="s">
        <v>146</v>
      </c>
      <c r="E85" s="22" t="s">
        <v>26</v>
      </c>
      <c r="F85" s="47" t="s">
        <v>57</v>
      </c>
      <c r="G85" s="29">
        <f>I76</f>
        <v>46225</v>
      </c>
      <c r="H85" s="30">
        <v>14</v>
      </c>
      <c r="I85" s="29">
        <f t="shared" si="6"/>
        <v>46239</v>
      </c>
      <c r="J85" s="66">
        <f t="shared" ca="1" si="9"/>
        <v>0</v>
      </c>
      <c r="K85" s="92">
        <v>0</v>
      </c>
      <c r="L85" s="90"/>
    </row>
    <row r="86" spans="1:12" ht="35.25" customHeight="1" outlineLevel="1" x14ac:dyDescent="0.35">
      <c r="A86" s="17" t="s">
        <v>130</v>
      </c>
      <c r="B86" s="20" t="s">
        <v>25</v>
      </c>
      <c r="C86" s="13" t="s">
        <v>147</v>
      </c>
      <c r="D86" s="13" t="s">
        <v>148</v>
      </c>
      <c r="E86" s="17" t="s">
        <v>24</v>
      </c>
      <c r="F86" s="47" t="s">
        <v>57</v>
      </c>
      <c r="G86" s="29">
        <f>I76</f>
        <v>46225</v>
      </c>
      <c r="H86" s="30">
        <v>14</v>
      </c>
      <c r="I86" s="29">
        <f t="shared" si="6"/>
        <v>46239</v>
      </c>
      <c r="J86" s="66">
        <f t="shared" ca="1" si="9"/>
        <v>0</v>
      </c>
      <c r="K86" s="92">
        <v>0</v>
      </c>
      <c r="L86" s="90"/>
    </row>
    <row r="87" spans="1:12" ht="24.75" customHeight="1" x14ac:dyDescent="0.35">
      <c r="A87" s="53"/>
      <c r="B87" s="53" t="s">
        <v>109</v>
      </c>
      <c r="C87" s="54"/>
      <c r="D87" s="54"/>
      <c r="E87" s="54"/>
      <c r="F87" s="55"/>
      <c r="G87" s="56">
        <f>MIN(G88:G92)</f>
        <v>46156</v>
      </c>
      <c r="H87" s="57">
        <f>I87-G87</f>
        <v>97</v>
      </c>
      <c r="I87" s="56">
        <f>MAX(I88:I92)</f>
        <v>46253</v>
      </c>
      <c r="J87" s="58"/>
      <c r="K87" s="81"/>
      <c r="L87" s="90"/>
    </row>
    <row r="88" spans="1:12" ht="35.25" customHeight="1" outlineLevel="1" x14ac:dyDescent="0.35">
      <c r="A88" s="22" t="s">
        <v>109</v>
      </c>
      <c r="B88" s="20" t="s">
        <v>17</v>
      </c>
      <c r="C88" s="19" t="s">
        <v>149</v>
      </c>
      <c r="D88" s="19" t="s">
        <v>150</v>
      </c>
      <c r="E88" s="19" t="s">
        <v>20</v>
      </c>
      <c r="F88" s="47" t="s">
        <v>57</v>
      </c>
      <c r="G88" s="28">
        <f>I56</f>
        <v>46156</v>
      </c>
      <c r="H88" s="27">
        <v>21</v>
      </c>
      <c r="I88" s="28">
        <f t="shared" ref="I88" si="10">G88+H88</f>
        <v>46177</v>
      </c>
      <c r="J88" s="65">
        <f t="shared" ref="J88" ca="1" si="11">IFERROR(MAX(0,MIN(1,(TODAY()-G88)/(I88-G88))),"")</f>
        <v>0</v>
      </c>
      <c r="K88" s="92">
        <v>0</v>
      </c>
      <c r="L88" s="90"/>
    </row>
    <row r="89" spans="1:12" ht="35.25" customHeight="1" outlineLevel="1" x14ac:dyDescent="0.35">
      <c r="A89" s="22" t="s">
        <v>109</v>
      </c>
      <c r="B89" s="20" t="s">
        <v>17</v>
      </c>
      <c r="C89" s="19" t="s">
        <v>151</v>
      </c>
      <c r="D89" s="19" t="s">
        <v>152</v>
      </c>
      <c r="E89" s="19" t="s">
        <v>274</v>
      </c>
      <c r="F89" s="47" t="s">
        <v>57</v>
      </c>
      <c r="G89" s="28">
        <f>I88</f>
        <v>46177</v>
      </c>
      <c r="H89" s="27">
        <v>14</v>
      </c>
      <c r="I89" s="28">
        <f t="shared" ref="I89:I91" si="12">G89+H89</f>
        <v>46191</v>
      </c>
      <c r="J89" s="65">
        <f t="shared" ca="1" si="9"/>
        <v>0</v>
      </c>
      <c r="K89" s="92">
        <v>0</v>
      </c>
      <c r="L89" s="90"/>
    </row>
    <row r="90" spans="1:12" ht="35.25" customHeight="1" outlineLevel="1" x14ac:dyDescent="0.35">
      <c r="A90" s="17" t="s">
        <v>109</v>
      </c>
      <c r="B90" s="20" t="s">
        <v>17</v>
      </c>
      <c r="C90" s="13" t="s">
        <v>153</v>
      </c>
      <c r="D90" s="13" t="s">
        <v>284</v>
      </c>
      <c r="E90" s="13" t="s">
        <v>20</v>
      </c>
      <c r="F90" s="47" t="s">
        <v>57</v>
      </c>
      <c r="G90" s="29">
        <f>I76-7</f>
        <v>46218</v>
      </c>
      <c r="H90" s="30">
        <v>7</v>
      </c>
      <c r="I90" s="29">
        <f>G90+H90</f>
        <v>46225</v>
      </c>
      <c r="J90" s="66">
        <f t="shared" ca="1" si="9"/>
        <v>0</v>
      </c>
      <c r="K90" s="92">
        <v>0</v>
      </c>
      <c r="L90" s="90" t="s">
        <v>316</v>
      </c>
    </row>
    <row r="91" spans="1:12" ht="35.25" customHeight="1" outlineLevel="1" x14ac:dyDescent="0.35">
      <c r="A91" s="18" t="s">
        <v>109</v>
      </c>
      <c r="B91" s="20" t="s">
        <v>17</v>
      </c>
      <c r="C91" s="14" t="s">
        <v>154</v>
      </c>
      <c r="D91" s="14" t="s">
        <v>155</v>
      </c>
      <c r="E91" s="19" t="s">
        <v>20</v>
      </c>
      <c r="F91" s="47" t="s">
        <v>57</v>
      </c>
      <c r="G91" s="31">
        <f>G90+H90</f>
        <v>46225</v>
      </c>
      <c r="H91" s="32">
        <v>7</v>
      </c>
      <c r="I91" s="31">
        <f t="shared" si="12"/>
        <v>46232</v>
      </c>
      <c r="J91" s="67">
        <f t="shared" ref="J91" ca="1" si="13">IFERROR(MAX(0,MIN(1,(TODAY()-G91)/(I91-G91))),"")</f>
        <v>0</v>
      </c>
      <c r="K91" s="92">
        <v>0</v>
      </c>
      <c r="L91" s="90" t="s">
        <v>334</v>
      </c>
    </row>
    <row r="92" spans="1:12" ht="35.25" customHeight="1" outlineLevel="1" x14ac:dyDescent="0.35">
      <c r="A92" s="17" t="s">
        <v>109</v>
      </c>
      <c r="B92" s="20" t="s">
        <v>17</v>
      </c>
      <c r="C92" s="13" t="s">
        <v>156</v>
      </c>
      <c r="D92" s="13" t="s">
        <v>157</v>
      </c>
      <c r="E92" s="19" t="s">
        <v>289</v>
      </c>
      <c r="F92" s="47" t="s">
        <v>57</v>
      </c>
      <c r="G92" s="29">
        <f>I91</f>
        <v>46232</v>
      </c>
      <c r="H92" s="30">
        <v>21</v>
      </c>
      <c r="I92" s="29">
        <f t="shared" ref="I92" si="14">G92+H92</f>
        <v>46253</v>
      </c>
      <c r="J92" s="66">
        <f t="shared" ca="1" si="9"/>
        <v>0</v>
      </c>
      <c r="K92" s="92">
        <v>0</v>
      </c>
      <c r="L92" s="90" t="s">
        <v>317</v>
      </c>
    </row>
    <row r="93" spans="1:12" ht="24.75" customHeight="1" x14ac:dyDescent="0.35">
      <c r="A93" s="53"/>
      <c r="B93" s="53" t="s">
        <v>158</v>
      </c>
      <c r="C93" s="54"/>
      <c r="D93" s="54"/>
      <c r="E93" s="54"/>
      <c r="F93" s="55"/>
      <c r="G93" s="56">
        <f>MIN(G94:G133)</f>
        <v>46070</v>
      </c>
      <c r="H93" s="57">
        <f>I93-G93</f>
        <v>190</v>
      </c>
      <c r="I93" s="56">
        <f>MAX(I94:I133)</f>
        <v>46260</v>
      </c>
      <c r="J93" s="58"/>
      <c r="K93" s="81"/>
      <c r="L93" s="90"/>
    </row>
    <row r="94" spans="1:12" ht="35.25" customHeight="1" outlineLevel="1" x14ac:dyDescent="0.35">
      <c r="A94" s="86" t="s">
        <v>158</v>
      </c>
      <c r="B94" s="13" t="s">
        <v>19</v>
      </c>
      <c r="C94" s="13" t="s">
        <v>272</v>
      </c>
      <c r="D94" s="13" t="s">
        <v>159</v>
      </c>
      <c r="E94" s="19" t="s">
        <v>16</v>
      </c>
      <c r="F94" s="47" t="s">
        <v>57</v>
      </c>
      <c r="G94" s="40">
        <v>46117</v>
      </c>
      <c r="H94" s="30">
        <v>21</v>
      </c>
      <c r="I94" s="29">
        <f t="shared" ref="I94:I133" si="15">G94+H94</f>
        <v>46138</v>
      </c>
      <c r="J94" s="66">
        <f ca="1">IFERROR(MAX(0,MIN(1,(TODAY()-G94)/(I94-G94))),"")</f>
        <v>0</v>
      </c>
      <c r="K94" s="92">
        <v>0</v>
      </c>
      <c r="L94" s="90" t="s">
        <v>318</v>
      </c>
    </row>
    <row r="95" spans="1:12" ht="35.25" customHeight="1" outlineLevel="1" x14ac:dyDescent="0.35">
      <c r="A95" s="86" t="s">
        <v>158</v>
      </c>
      <c r="B95" s="13" t="s">
        <v>19</v>
      </c>
      <c r="C95" s="13" t="s">
        <v>271</v>
      </c>
      <c r="D95" s="42" t="s">
        <v>160</v>
      </c>
      <c r="E95" s="19" t="s">
        <v>16</v>
      </c>
      <c r="F95" s="47" t="s">
        <v>57</v>
      </c>
      <c r="G95" s="40">
        <v>46117</v>
      </c>
      <c r="H95" s="30">
        <v>14</v>
      </c>
      <c r="I95" s="29">
        <f>G95+H95</f>
        <v>46131</v>
      </c>
      <c r="J95" s="66">
        <f ca="1">IFERROR(MAX(0,MIN(1,(TODAY()-G95)/(I95-G95))),"")</f>
        <v>0</v>
      </c>
      <c r="K95" s="92">
        <v>0</v>
      </c>
      <c r="L95" s="90"/>
    </row>
    <row r="96" spans="1:12" ht="35.25" customHeight="1" outlineLevel="1" x14ac:dyDescent="0.35">
      <c r="A96" s="86" t="s">
        <v>158</v>
      </c>
      <c r="B96" s="13" t="s">
        <v>19</v>
      </c>
      <c r="C96" s="13" t="s">
        <v>255</v>
      </c>
      <c r="D96" s="13" t="s">
        <v>161</v>
      </c>
      <c r="E96" s="19" t="s">
        <v>16</v>
      </c>
      <c r="F96" s="47" t="s">
        <v>57</v>
      </c>
      <c r="G96" s="29">
        <f>I95</f>
        <v>46131</v>
      </c>
      <c r="H96" s="30">
        <v>14</v>
      </c>
      <c r="I96" s="29">
        <f>G96+H96</f>
        <v>46145</v>
      </c>
      <c r="J96" s="66">
        <f ca="1">IFERROR(MAX(0,MIN(1,(TODAY()-G96)/(I96-G96))),"")</f>
        <v>0</v>
      </c>
      <c r="K96" s="92">
        <v>0</v>
      </c>
      <c r="L96" s="90"/>
    </row>
    <row r="97" spans="1:12" ht="35.25" customHeight="1" outlineLevel="1" x14ac:dyDescent="0.35">
      <c r="A97" s="86" t="s">
        <v>158</v>
      </c>
      <c r="B97" s="13" t="s">
        <v>19</v>
      </c>
      <c r="C97" s="13" t="s">
        <v>256</v>
      </c>
      <c r="D97" s="42" t="s">
        <v>162</v>
      </c>
      <c r="E97" s="13" t="s">
        <v>33</v>
      </c>
      <c r="F97" s="47" t="s">
        <v>57</v>
      </c>
      <c r="G97" s="40">
        <v>46117</v>
      </c>
      <c r="H97" s="30">
        <v>14</v>
      </c>
      <c r="I97" s="29">
        <f t="shared" si="15"/>
        <v>46131</v>
      </c>
      <c r="J97" s="66">
        <f t="shared" ref="J97:J103" ca="1" si="16">IFERROR(MAX(0,MIN(1,(TODAY()-G97)/(I97-G97))),"")</f>
        <v>0</v>
      </c>
      <c r="K97" s="92">
        <v>0</v>
      </c>
      <c r="L97" s="90"/>
    </row>
    <row r="98" spans="1:12" ht="35.25" customHeight="1" outlineLevel="1" x14ac:dyDescent="0.35">
      <c r="A98" s="86" t="s">
        <v>158</v>
      </c>
      <c r="B98" s="13" t="s">
        <v>19</v>
      </c>
      <c r="C98" s="13" t="s">
        <v>163</v>
      </c>
      <c r="D98" s="42" t="s">
        <v>164</v>
      </c>
      <c r="E98" s="13" t="s">
        <v>33</v>
      </c>
      <c r="F98" s="47" t="s">
        <v>57</v>
      </c>
      <c r="G98" s="29">
        <f>I97</f>
        <v>46131</v>
      </c>
      <c r="H98" s="30">
        <v>60</v>
      </c>
      <c r="I98" s="29">
        <f t="shared" si="15"/>
        <v>46191</v>
      </c>
      <c r="J98" s="66">
        <f t="shared" ca="1" si="16"/>
        <v>0</v>
      </c>
      <c r="K98" s="92">
        <v>0</v>
      </c>
      <c r="L98" s="90"/>
    </row>
    <row r="99" spans="1:12" ht="35.25" customHeight="1" outlineLevel="1" x14ac:dyDescent="0.35">
      <c r="A99" s="86" t="s">
        <v>158</v>
      </c>
      <c r="B99" s="13" t="s">
        <v>19</v>
      </c>
      <c r="C99" s="17" t="s">
        <v>165</v>
      </c>
      <c r="D99" s="41" t="s">
        <v>166</v>
      </c>
      <c r="E99" s="19" t="s">
        <v>16</v>
      </c>
      <c r="F99" s="47" t="s">
        <v>57</v>
      </c>
      <c r="G99" s="29">
        <v>46183</v>
      </c>
      <c r="H99" s="30">
        <v>14</v>
      </c>
      <c r="I99" s="29">
        <f t="shared" ref="I99:I105" si="17">G99+H99</f>
        <v>46197</v>
      </c>
      <c r="J99" s="66">
        <f t="shared" ca="1" si="16"/>
        <v>0</v>
      </c>
      <c r="K99" s="92">
        <v>0</v>
      </c>
      <c r="L99" s="90"/>
    </row>
    <row r="100" spans="1:12" ht="35.25" customHeight="1" outlineLevel="1" x14ac:dyDescent="0.35">
      <c r="A100" s="86" t="s">
        <v>158</v>
      </c>
      <c r="B100" s="19" t="s">
        <v>19</v>
      </c>
      <c r="C100" s="19" t="s">
        <v>167</v>
      </c>
      <c r="D100" s="19" t="s">
        <v>168</v>
      </c>
      <c r="E100" s="19" t="s">
        <v>34</v>
      </c>
      <c r="F100" s="47" t="s">
        <v>57</v>
      </c>
      <c r="G100" s="28">
        <f>I76</f>
        <v>46225</v>
      </c>
      <c r="H100" s="27">
        <v>21</v>
      </c>
      <c r="I100" s="28">
        <f t="shared" si="17"/>
        <v>46246</v>
      </c>
      <c r="J100" s="65">
        <f t="shared" ca="1" si="16"/>
        <v>0</v>
      </c>
      <c r="K100" s="92">
        <v>0</v>
      </c>
      <c r="L100" s="90" t="s">
        <v>319</v>
      </c>
    </row>
    <row r="101" spans="1:12" ht="35.25" customHeight="1" outlineLevel="1" x14ac:dyDescent="0.35">
      <c r="A101" s="86" t="s">
        <v>158</v>
      </c>
      <c r="B101" s="13" t="s">
        <v>19</v>
      </c>
      <c r="C101" s="13" t="s">
        <v>169</v>
      </c>
      <c r="D101" s="13" t="s">
        <v>170</v>
      </c>
      <c r="E101" s="19" t="s">
        <v>34</v>
      </c>
      <c r="F101" s="47" t="s">
        <v>57</v>
      </c>
      <c r="G101" s="29">
        <f>I76</f>
        <v>46225</v>
      </c>
      <c r="H101" s="30">
        <v>7</v>
      </c>
      <c r="I101" s="29">
        <f t="shared" si="17"/>
        <v>46232</v>
      </c>
      <c r="J101" s="66">
        <f t="shared" ca="1" si="16"/>
        <v>0</v>
      </c>
      <c r="K101" s="92">
        <v>0</v>
      </c>
      <c r="L101" s="90" t="s">
        <v>320</v>
      </c>
    </row>
    <row r="102" spans="1:12" ht="35.25" customHeight="1" outlineLevel="1" x14ac:dyDescent="0.35">
      <c r="A102" s="86" t="s">
        <v>158</v>
      </c>
      <c r="B102" s="13" t="s">
        <v>19</v>
      </c>
      <c r="C102" s="13" t="s">
        <v>171</v>
      </c>
      <c r="D102" s="13" t="s">
        <v>172</v>
      </c>
      <c r="E102" s="19" t="s">
        <v>16</v>
      </c>
      <c r="F102" s="47" t="s">
        <v>57</v>
      </c>
      <c r="G102" s="29">
        <f>I10</f>
        <v>46096</v>
      </c>
      <c r="H102" s="30">
        <v>7</v>
      </c>
      <c r="I102" s="29">
        <f t="shared" si="17"/>
        <v>46103</v>
      </c>
      <c r="J102" s="66">
        <f t="shared" ca="1" si="16"/>
        <v>0</v>
      </c>
      <c r="K102" s="92">
        <v>0</v>
      </c>
      <c r="L102" s="90"/>
    </row>
    <row r="103" spans="1:12" ht="35.25" customHeight="1" outlineLevel="1" x14ac:dyDescent="0.35">
      <c r="A103" s="86" t="s">
        <v>158</v>
      </c>
      <c r="B103" s="13" t="s">
        <v>19</v>
      </c>
      <c r="C103" s="13" t="s">
        <v>173</v>
      </c>
      <c r="D103" s="13" t="s">
        <v>174</v>
      </c>
      <c r="E103" s="19" t="s">
        <v>288</v>
      </c>
      <c r="F103" s="47" t="s">
        <v>57</v>
      </c>
      <c r="G103" s="29">
        <f>I100</f>
        <v>46246</v>
      </c>
      <c r="H103" s="30">
        <v>14</v>
      </c>
      <c r="I103" s="29">
        <f t="shared" si="17"/>
        <v>46260</v>
      </c>
      <c r="J103" s="66">
        <f t="shared" ca="1" si="16"/>
        <v>0</v>
      </c>
      <c r="K103" s="92">
        <v>0</v>
      </c>
      <c r="L103" s="90" t="s">
        <v>321</v>
      </c>
    </row>
    <row r="104" spans="1:12" ht="37.9" customHeight="1" outlineLevel="1" x14ac:dyDescent="0.35">
      <c r="A104" s="86" t="s">
        <v>158</v>
      </c>
      <c r="B104" s="13" t="s">
        <v>21</v>
      </c>
      <c r="C104" s="13" t="s">
        <v>257</v>
      </c>
      <c r="D104" s="13" t="s">
        <v>293</v>
      </c>
      <c r="E104" s="13" t="s">
        <v>18</v>
      </c>
      <c r="F104" s="51" t="s">
        <v>10</v>
      </c>
      <c r="G104" s="40">
        <v>46070</v>
      </c>
      <c r="H104" s="30">
        <v>21</v>
      </c>
      <c r="I104" s="29">
        <f t="shared" si="17"/>
        <v>46091</v>
      </c>
      <c r="J104" s="66">
        <f ca="1">IFERROR(MAX(0,MIN(1,(TODAY()-G104)/(I104-G104))),"")</f>
        <v>1</v>
      </c>
      <c r="K104" s="92">
        <v>1</v>
      </c>
      <c r="L104" s="90"/>
    </row>
    <row r="105" spans="1:12" ht="37.9" customHeight="1" outlineLevel="1" x14ac:dyDescent="0.35">
      <c r="A105" s="86" t="s">
        <v>158</v>
      </c>
      <c r="B105" s="13" t="s">
        <v>21</v>
      </c>
      <c r="C105" s="13" t="s">
        <v>258</v>
      </c>
      <c r="D105" s="13" t="s">
        <v>175</v>
      </c>
      <c r="E105" s="13" t="s">
        <v>18</v>
      </c>
      <c r="F105" s="47" t="s">
        <v>9</v>
      </c>
      <c r="G105" s="29">
        <f>I104</f>
        <v>46091</v>
      </c>
      <c r="H105" s="30">
        <v>14</v>
      </c>
      <c r="I105" s="29">
        <f t="shared" si="17"/>
        <v>46105</v>
      </c>
      <c r="J105" s="66">
        <f ca="1">IFERROR(MAX(0,MIN(1,(TODAY()-G105)/(I105-G105))),"")</f>
        <v>0</v>
      </c>
      <c r="K105" s="92">
        <v>0</v>
      </c>
      <c r="L105" s="90" t="s">
        <v>356</v>
      </c>
    </row>
    <row r="106" spans="1:12" ht="35.25" customHeight="1" outlineLevel="1" x14ac:dyDescent="0.35">
      <c r="A106" s="86" t="s">
        <v>158</v>
      </c>
      <c r="B106" s="13" t="s">
        <v>21</v>
      </c>
      <c r="C106" s="13" t="s">
        <v>259</v>
      </c>
      <c r="D106" s="13" t="s">
        <v>176</v>
      </c>
      <c r="E106" s="13" t="s">
        <v>18</v>
      </c>
      <c r="F106" s="47" t="s">
        <v>57</v>
      </c>
      <c r="G106" s="29">
        <f>I105</f>
        <v>46105</v>
      </c>
      <c r="H106" s="30">
        <v>30</v>
      </c>
      <c r="I106" s="29">
        <f t="shared" ref="I106" si="18">G106+H106</f>
        <v>46135</v>
      </c>
      <c r="J106" s="66">
        <f t="shared" ref="J106" ca="1" si="19">IFERROR(MAX(0,MIN(1,(TODAY()-G106)/(I106-G106))),"")</f>
        <v>0</v>
      </c>
      <c r="K106" s="92">
        <v>0</v>
      </c>
      <c r="L106" s="90"/>
    </row>
    <row r="107" spans="1:12" ht="37.9" customHeight="1" outlineLevel="1" x14ac:dyDescent="0.35">
      <c r="A107" s="86" t="s">
        <v>158</v>
      </c>
      <c r="B107" s="13" t="s">
        <v>21</v>
      </c>
      <c r="C107" s="13" t="s">
        <v>260</v>
      </c>
      <c r="D107" s="13" t="s">
        <v>177</v>
      </c>
      <c r="E107" s="13" t="s">
        <v>18</v>
      </c>
      <c r="F107" s="47" t="s">
        <v>57</v>
      </c>
      <c r="G107" s="29">
        <f>I105</f>
        <v>46105</v>
      </c>
      <c r="H107" s="30">
        <v>90</v>
      </c>
      <c r="I107" s="29">
        <f>G107+H107</f>
        <v>46195</v>
      </c>
      <c r="J107" s="66">
        <f ca="1">IFERROR(MAX(0,MIN(1,(TODAY()-G107)/(I107-G107))),"")</f>
        <v>0</v>
      </c>
      <c r="K107" s="92">
        <v>0</v>
      </c>
      <c r="L107" s="90"/>
    </row>
    <row r="108" spans="1:12" ht="35.25" customHeight="1" outlineLevel="1" x14ac:dyDescent="0.35">
      <c r="A108" s="86" t="s">
        <v>158</v>
      </c>
      <c r="B108" s="13" t="s">
        <v>21</v>
      </c>
      <c r="C108" s="13" t="s">
        <v>261</v>
      </c>
      <c r="D108" s="13" t="s">
        <v>178</v>
      </c>
      <c r="E108" s="13" t="s">
        <v>18</v>
      </c>
      <c r="F108" s="47" t="s">
        <v>57</v>
      </c>
      <c r="G108" s="29">
        <f>I107</f>
        <v>46195</v>
      </c>
      <c r="H108" s="30">
        <v>3</v>
      </c>
      <c r="I108" s="29">
        <f>G108+H108</f>
        <v>46198</v>
      </c>
      <c r="J108" s="66">
        <f ca="1">IFERROR(MAX(0,MIN(1,(TODAY()-G108)/(I108-G108))),"")</f>
        <v>0</v>
      </c>
      <c r="K108" s="92">
        <v>0</v>
      </c>
      <c r="L108" s="90"/>
    </row>
    <row r="109" spans="1:12" ht="35.25" customHeight="1" outlineLevel="1" x14ac:dyDescent="0.35">
      <c r="A109" s="86" t="s">
        <v>158</v>
      </c>
      <c r="B109" s="13" t="s">
        <v>21</v>
      </c>
      <c r="C109" s="13" t="s">
        <v>179</v>
      </c>
      <c r="D109" s="13" t="s">
        <v>180</v>
      </c>
      <c r="E109" s="13" t="s">
        <v>18</v>
      </c>
      <c r="F109" s="47" t="s">
        <v>57</v>
      </c>
      <c r="G109" s="29">
        <f>I108</f>
        <v>46198</v>
      </c>
      <c r="H109" s="30">
        <v>7</v>
      </c>
      <c r="I109" s="29">
        <f>G109+H109</f>
        <v>46205</v>
      </c>
      <c r="J109" s="66">
        <f ca="1">IFERROR(MAX(0,MIN(1,(TODAY()-G109)/(I109-G109))),"")</f>
        <v>0</v>
      </c>
      <c r="K109" s="92">
        <v>0</v>
      </c>
      <c r="L109" s="90"/>
    </row>
    <row r="110" spans="1:12" ht="35.25" customHeight="1" outlineLevel="1" x14ac:dyDescent="0.35">
      <c r="A110" s="86" t="s">
        <v>158</v>
      </c>
      <c r="B110" s="13" t="s">
        <v>21</v>
      </c>
      <c r="C110" s="13" t="s">
        <v>262</v>
      </c>
      <c r="D110" s="13" t="s">
        <v>181</v>
      </c>
      <c r="E110" s="13" t="s">
        <v>18</v>
      </c>
      <c r="F110" s="47" t="s">
        <v>57</v>
      </c>
      <c r="G110" s="29">
        <f>I105</f>
        <v>46105</v>
      </c>
      <c r="H110" s="30">
        <v>60</v>
      </c>
      <c r="I110" s="29">
        <f t="shared" si="15"/>
        <v>46165</v>
      </c>
      <c r="J110" s="66">
        <f t="shared" ca="1" si="9"/>
        <v>0</v>
      </c>
      <c r="K110" s="92">
        <v>0</v>
      </c>
      <c r="L110" s="90"/>
    </row>
    <row r="111" spans="1:12" ht="35.25" customHeight="1" outlineLevel="1" x14ac:dyDescent="0.35">
      <c r="A111" s="86" t="s">
        <v>158</v>
      </c>
      <c r="B111" s="13" t="s">
        <v>21</v>
      </c>
      <c r="C111" s="13" t="s">
        <v>263</v>
      </c>
      <c r="D111" s="13" t="s">
        <v>182</v>
      </c>
      <c r="E111" s="13" t="s">
        <v>18</v>
      </c>
      <c r="F111" s="47" t="s">
        <v>57</v>
      </c>
      <c r="G111" s="29">
        <f>I76</f>
        <v>46225</v>
      </c>
      <c r="H111" s="30">
        <v>14</v>
      </c>
      <c r="I111" s="29">
        <f t="shared" si="15"/>
        <v>46239</v>
      </c>
      <c r="J111" s="66">
        <f t="shared" ca="1" si="9"/>
        <v>0</v>
      </c>
      <c r="K111" s="92">
        <v>0</v>
      </c>
      <c r="L111" s="90"/>
    </row>
    <row r="112" spans="1:12" ht="35.25" customHeight="1" outlineLevel="1" x14ac:dyDescent="0.35">
      <c r="A112" s="86" t="s">
        <v>158</v>
      </c>
      <c r="B112" s="13" t="s">
        <v>21</v>
      </c>
      <c r="C112" s="13" t="s">
        <v>183</v>
      </c>
      <c r="D112" s="13" t="s">
        <v>184</v>
      </c>
      <c r="E112" s="13" t="s">
        <v>18</v>
      </c>
      <c r="F112" s="47" t="s">
        <v>57</v>
      </c>
      <c r="G112" s="29">
        <f>I76</f>
        <v>46225</v>
      </c>
      <c r="H112" s="30">
        <v>14</v>
      </c>
      <c r="I112" s="29">
        <f>G112+H112</f>
        <v>46239</v>
      </c>
      <c r="J112" s="66">
        <f ca="1">IFERROR(MAX(0,MIN(1,(TODAY()-G112)/(I112-G112))),"")</f>
        <v>0</v>
      </c>
      <c r="K112" s="92">
        <v>0</v>
      </c>
      <c r="L112" s="90"/>
    </row>
    <row r="113" spans="1:12" ht="35.25" customHeight="1" outlineLevel="1" x14ac:dyDescent="0.35">
      <c r="A113" s="86" t="s">
        <v>158</v>
      </c>
      <c r="B113" s="13" t="s">
        <v>21</v>
      </c>
      <c r="C113" s="13" t="s">
        <v>264</v>
      </c>
      <c r="D113" s="13" t="s">
        <v>185</v>
      </c>
      <c r="E113" s="13" t="s">
        <v>18</v>
      </c>
      <c r="F113" s="47" t="s">
        <v>57</v>
      </c>
      <c r="G113" s="29">
        <f>I76</f>
        <v>46225</v>
      </c>
      <c r="H113" s="30">
        <v>7</v>
      </c>
      <c r="I113" s="29">
        <f t="shared" si="15"/>
        <v>46232</v>
      </c>
      <c r="J113" s="66">
        <f t="shared" ca="1" si="9"/>
        <v>0</v>
      </c>
      <c r="K113" s="92">
        <v>0</v>
      </c>
      <c r="L113" s="90" t="s">
        <v>322</v>
      </c>
    </row>
    <row r="114" spans="1:12" ht="35.25" customHeight="1" outlineLevel="1" x14ac:dyDescent="0.35">
      <c r="A114" s="86" t="s">
        <v>158</v>
      </c>
      <c r="B114" s="13" t="s">
        <v>21</v>
      </c>
      <c r="C114" s="13" t="s">
        <v>265</v>
      </c>
      <c r="D114" s="13" t="s">
        <v>186</v>
      </c>
      <c r="E114" s="13" t="s">
        <v>18</v>
      </c>
      <c r="F114" s="47" t="s">
        <v>57</v>
      </c>
      <c r="G114" s="40">
        <v>46154</v>
      </c>
      <c r="H114" s="30">
        <v>60</v>
      </c>
      <c r="I114" s="29">
        <f t="shared" si="15"/>
        <v>46214</v>
      </c>
      <c r="J114" s="66">
        <f t="shared" ca="1" si="9"/>
        <v>0</v>
      </c>
      <c r="K114" s="92">
        <v>0</v>
      </c>
      <c r="L114" s="90"/>
    </row>
    <row r="115" spans="1:12" ht="35.25" customHeight="1" outlineLevel="1" x14ac:dyDescent="0.35">
      <c r="A115" s="86" t="s">
        <v>158</v>
      </c>
      <c r="B115" s="13" t="s">
        <v>21</v>
      </c>
      <c r="C115" s="13" t="s">
        <v>276</v>
      </c>
      <c r="D115" s="13" t="s">
        <v>187</v>
      </c>
      <c r="E115" s="13" t="s">
        <v>18</v>
      </c>
      <c r="F115" s="47" t="s">
        <v>57</v>
      </c>
      <c r="G115" s="40">
        <v>46154</v>
      </c>
      <c r="H115" s="30">
        <v>60</v>
      </c>
      <c r="I115" s="29">
        <f t="shared" ref="I115" si="20">G115+H115</f>
        <v>46214</v>
      </c>
      <c r="J115" s="66">
        <f t="shared" ref="J115" ca="1" si="21">IFERROR(MAX(0,MIN(1,(TODAY()-G115)/(I115-G115))),"")</f>
        <v>0</v>
      </c>
      <c r="K115" s="92">
        <v>0</v>
      </c>
      <c r="L115" s="90"/>
    </row>
    <row r="116" spans="1:12" ht="35.25" customHeight="1" outlineLevel="1" x14ac:dyDescent="0.35">
      <c r="A116" s="86" t="s">
        <v>158</v>
      </c>
      <c r="B116" s="13" t="s">
        <v>21</v>
      </c>
      <c r="C116" s="13" t="s">
        <v>188</v>
      </c>
      <c r="D116" s="13" t="s">
        <v>189</v>
      </c>
      <c r="E116" s="13" t="s">
        <v>18</v>
      </c>
      <c r="F116" s="47" t="s">
        <v>57</v>
      </c>
      <c r="G116" s="29">
        <f>I76</f>
        <v>46225</v>
      </c>
      <c r="H116" s="30">
        <v>14</v>
      </c>
      <c r="I116" s="29">
        <f t="shared" si="15"/>
        <v>46239</v>
      </c>
      <c r="J116" s="66">
        <f t="shared" ref="J116:J119" ca="1" si="22">IFERROR(MAX(0,MIN(1,(TODAY()-G116)/(I116-G116))),"")</f>
        <v>0</v>
      </c>
      <c r="K116" s="92">
        <v>0</v>
      </c>
      <c r="L116" s="90"/>
    </row>
    <row r="117" spans="1:12" ht="35.25" customHeight="1" outlineLevel="1" x14ac:dyDescent="0.35">
      <c r="A117" s="86" t="s">
        <v>158</v>
      </c>
      <c r="B117" s="13" t="s">
        <v>22</v>
      </c>
      <c r="C117" s="14" t="s">
        <v>221</v>
      </c>
      <c r="D117" s="14" t="s">
        <v>220</v>
      </c>
      <c r="E117" s="13" t="s">
        <v>36</v>
      </c>
      <c r="F117" s="47" t="s">
        <v>9</v>
      </c>
      <c r="G117" s="39">
        <v>46090</v>
      </c>
      <c r="H117" s="32">
        <v>21</v>
      </c>
      <c r="I117" s="29">
        <f t="shared" si="15"/>
        <v>46111</v>
      </c>
      <c r="J117" s="66">
        <f t="shared" ca="1" si="22"/>
        <v>4.7619047619047616E-2</v>
      </c>
      <c r="K117" s="92">
        <v>0</v>
      </c>
      <c r="L117" s="90" t="s">
        <v>323</v>
      </c>
    </row>
    <row r="118" spans="1:12" ht="35.25" customHeight="1" outlineLevel="1" x14ac:dyDescent="0.35">
      <c r="A118" s="86" t="s">
        <v>158</v>
      </c>
      <c r="B118" s="13" t="s">
        <v>22</v>
      </c>
      <c r="C118" s="14" t="s">
        <v>218</v>
      </c>
      <c r="D118" s="14" t="s">
        <v>217</v>
      </c>
      <c r="E118" s="13" t="s">
        <v>36</v>
      </c>
      <c r="F118" s="47" t="s">
        <v>57</v>
      </c>
      <c r="G118" s="31">
        <f>I117</f>
        <v>46111</v>
      </c>
      <c r="H118" s="32">
        <v>21</v>
      </c>
      <c r="I118" s="29">
        <f t="shared" si="15"/>
        <v>46132</v>
      </c>
      <c r="J118" s="66">
        <f t="shared" ca="1" si="22"/>
        <v>0</v>
      </c>
      <c r="K118" s="92">
        <v>0</v>
      </c>
      <c r="L118" s="90" t="s">
        <v>324</v>
      </c>
    </row>
    <row r="119" spans="1:12" ht="35.25" customHeight="1" outlineLevel="1" x14ac:dyDescent="0.35">
      <c r="A119" s="86" t="s">
        <v>158</v>
      </c>
      <c r="B119" s="13" t="s">
        <v>22</v>
      </c>
      <c r="C119" s="14" t="s">
        <v>222</v>
      </c>
      <c r="D119" s="14" t="s">
        <v>219</v>
      </c>
      <c r="E119" s="13" t="s">
        <v>36</v>
      </c>
      <c r="F119" s="47" t="s">
        <v>57</v>
      </c>
      <c r="G119" s="31">
        <f>I118</f>
        <v>46132</v>
      </c>
      <c r="H119" s="32">
        <v>14</v>
      </c>
      <c r="I119" s="29">
        <f>G119+H119</f>
        <v>46146</v>
      </c>
      <c r="J119" s="66">
        <f t="shared" ca="1" si="22"/>
        <v>0</v>
      </c>
      <c r="K119" s="92">
        <v>0</v>
      </c>
      <c r="L119" s="90" t="s">
        <v>325</v>
      </c>
    </row>
    <row r="120" spans="1:12" ht="35.25" customHeight="1" outlineLevel="1" x14ac:dyDescent="0.35">
      <c r="A120" s="86" t="s">
        <v>158</v>
      </c>
      <c r="B120" s="13" t="s">
        <v>22</v>
      </c>
      <c r="C120" s="13" t="s">
        <v>223</v>
      </c>
      <c r="D120" s="13" t="s">
        <v>190</v>
      </c>
      <c r="E120" s="13" t="s">
        <v>36</v>
      </c>
      <c r="F120" s="47" t="s">
        <v>57</v>
      </c>
      <c r="G120" s="40">
        <v>46117</v>
      </c>
      <c r="H120" s="30">
        <v>14</v>
      </c>
      <c r="I120" s="29">
        <f>G120+H120</f>
        <v>46131</v>
      </c>
      <c r="J120" s="66">
        <f ca="1">IFERROR(MAX(0,MIN(1,(TODAY()-G120)/(I120-G120))),"")</f>
        <v>0</v>
      </c>
      <c r="K120" s="92">
        <v>0</v>
      </c>
      <c r="L120" s="90" t="s">
        <v>326</v>
      </c>
    </row>
    <row r="121" spans="1:12" ht="35.25" customHeight="1" outlineLevel="1" x14ac:dyDescent="0.35">
      <c r="A121" s="86" t="s">
        <v>158</v>
      </c>
      <c r="B121" s="14" t="s">
        <v>23</v>
      </c>
      <c r="C121" s="18" t="s">
        <v>277</v>
      </c>
      <c r="D121" s="18" t="s">
        <v>191</v>
      </c>
      <c r="E121" s="19" t="s">
        <v>288</v>
      </c>
      <c r="F121" s="47" t="s">
        <v>9</v>
      </c>
      <c r="G121" s="31">
        <f>I8</f>
        <v>46085</v>
      </c>
      <c r="H121" s="37">
        <v>14</v>
      </c>
      <c r="I121" s="29">
        <f t="shared" si="15"/>
        <v>46099</v>
      </c>
      <c r="J121" s="67">
        <f ca="1">IFERROR(MAX(0,MIN(1,(TODAY()-G121)/(I121-G121))),"")</f>
        <v>0.42857142857142855</v>
      </c>
      <c r="K121" s="92">
        <v>0.5</v>
      </c>
      <c r="L121" s="90" t="s">
        <v>327</v>
      </c>
    </row>
    <row r="122" spans="1:12" ht="35.25" customHeight="1" outlineLevel="1" x14ac:dyDescent="0.35">
      <c r="A122" s="86" t="s">
        <v>158</v>
      </c>
      <c r="B122" s="13" t="s">
        <v>23</v>
      </c>
      <c r="C122" s="17" t="s">
        <v>192</v>
      </c>
      <c r="D122" s="17" t="s">
        <v>292</v>
      </c>
      <c r="E122" s="22" t="s">
        <v>26</v>
      </c>
      <c r="F122" s="47" t="s">
        <v>57</v>
      </c>
      <c r="G122" s="29">
        <f>I76</f>
        <v>46225</v>
      </c>
      <c r="H122" s="35">
        <v>7</v>
      </c>
      <c r="I122" s="29">
        <f t="shared" si="15"/>
        <v>46232</v>
      </c>
      <c r="J122" s="66">
        <f ca="1">IFERROR(MAX(0,MIN(1,(TODAY()-G122)/(I122-G122))),"")</f>
        <v>0</v>
      </c>
      <c r="K122" s="92">
        <v>0</v>
      </c>
      <c r="L122" s="90"/>
    </row>
    <row r="123" spans="1:12" ht="35.25" customHeight="1" outlineLevel="1" x14ac:dyDescent="0.35">
      <c r="A123" s="86" t="s">
        <v>158</v>
      </c>
      <c r="B123" s="19" t="s">
        <v>23</v>
      </c>
      <c r="C123" s="19" t="s">
        <v>275</v>
      </c>
      <c r="D123" s="19" t="s">
        <v>193</v>
      </c>
      <c r="E123" s="22" t="s">
        <v>26</v>
      </c>
      <c r="F123" s="47" t="s">
        <v>57</v>
      </c>
      <c r="G123" s="29">
        <f>$I$121</f>
        <v>46099</v>
      </c>
      <c r="H123" s="27">
        <v>14</v>
      </c>
      <c r="I123" s="29">
        <f t="shared" si="15"/>
        <v>46113</v>
      </c>
      <c r="J123" s="65">
        <f t="shared" ca="1" si="9"/>
        <v>0</v>
      </c>
      <c r="K123" s="92">
        <v>0</v>
      </c>
      <c r="L123" s="90"/>
    </row>
    <row r="124" spans="1:12" ht="35.25" customHeight="1" outlineLevel="1" x14ac:dyDescent="0.35">
      <c r="A124" s="86" t="s">
        <v>158</v>
      </c>
      <c r="B124" s="13" t="s">
        <v>23</v>
      </c>
      <c r="C124" s="13" t="s">
        <v>294</v>
      </c>
      <c r="D124" s="13" t="s">
        <v>194</v>
      </c>
      <c r="E124" s="22" t="s">
        <v>26</v>
      </c>
      <c r="F124" s="47" t="s">
        <v>57</v>
      </c>
      <c r="G124" s="29">
        <f>$I$121</f>
        <v>46099</v>
      </c>
      <c r="H124" s="27">
        <v>14</v>
      </c>
      <c r="I124" s="29">
        <f t="shared" si="15"/>
        <v>46113</v>
      </c>
      <c r="J124" s="66">
        <f t="shared" ca="1" si="9"/>
        <v>0</v>
      </c>
      <c r="K124" s="92">
        <v>0</v>
      </c>
      <c r="L124" s="90"/>
    </row>
    <row r="125" spans="1:12" ht="35.25" customHeight="1" outlineLevel="1" x14ac:dyDescent="0.35">
      <c r="A125" s="86" t="s">
        <v>158</v>
      </c>
      <c r="B125" s="13" t="s">
        <v>25</v>
      </c>
      <c r="C125" s="13" t="s">
        <v>266</v>
      </c>
      <c r="D125" s="13" t="s">
        <v>195</v>
      </c>
      <c r="E125" s="13" t="s">
        <v>24</v>
      </c>
      <c r="F125" s="47" t="s">
        <v>9</v>
      </c>
      <c r="G125" s="40">
        <v>46090</v>
      </c>
      <c r="H125" s="30">
        <v>14</v>
      </c>
      <c r="I125" s="29">
        <f t="shared" si="15"/>
        <v>46104</v>
      </c>
      <c r="J125" s="66">
        <f t="shared" ca="1" si="9"/>
        <v>7.1428571428571425E-2</v>
      </c>
      <c r="K125" s="92"/>
      <c r="L125" s="90"/>
    </row>
    <row r="126" spans="1:12" ht="35.25" customHeight="1" outlineLevel="1" x14ac:dyDescent="0.35">
      <c r="A126" s="86" t="s">
        <v>158</v>
      </c>
      <c r="B126" s="13" t="s">
        <v>25</v>
      </c>
      <c r="C126" s="13" t="s">
        <v>268</v>
      </c>
      <c r="D126" s="13" t="s">
        <v>196</v>
      </c>
      <c r="E126" s="13" t="s">
        <v>24</v>
      </c>
      <c r="F126" s="47" t="s">
        <v>57</v>
      </c>
      <c r="G126" s="29">
        <f>I56</f>
        <v>46156</v>
      </c>
      <c r="H126" s="27">
        <v>14</v>
      </c>
      <c r="I126" s="29">
        <f t="shared" si="15"/>
        <v>46170</v>
      </c>
      <c r="J126" s="66">
        <f t="shared" ca="1" si="9"/>
        <v>0</v>
      </c>
      <c r="K126" s="92">
        <v>0</v>
      </c>
      <c r="L126" s="90"/>
    </row>
    <row r="127" spans="1:12" ht="35.25" customHeight="1" outlineLevel="1" x14ac:dyDescent="0.35">
      <c r="A127" s="86" t="s">
        <v>158</v>
      </c>
      <c r="B127" s="13" t="s">
        <v>25</v>
      </c>
      <c r="C127" s="13" t="s">
        <v>197</v>
      </c>
      <c r="D127" s="13" t="s">
        <v>198</v>
      </c>
      <c r="E127" s="13" t="s">
        <v>24</v>
      </c>
      <c r="F127" s="47" t="s">
        <v>57</v>
      </c>
      <c r="G127" s="29">
        <f>I56</f>
        <v>46156</v>
      </c>
      <c r="H127" s="27">
        <v>14</v>
      </c>
      <c r="I127" s="29">
        <f t="shared" si="15"/>
        <v>46170</v>
      </c>
      <c r="J127" s="66">
        <f t="shared" ca="1" si="9"/>
        <v>0</v>
      </c>
      <c r="K127" s="92">
        <v>0</v>
      </c>
      <c r="L127" s="90"/>
    </row>
    <row r="128" spans="1:12" ht="35.25" customHeight="1" outlineLevel="1" x14ac:dyDescent="0.35">
      <c r="A128" s="86" t="s">
        <v>158</v>
      </c>
      <c r="B128" s="13" t="s">
        <v>25</v>
      </c>
      <c r="C128" s="13" t="s">
        <v>199</v>
      </c>
      <c r="D128" s="13" t="s">
        <v>200</v>
      </c>
      <c r="E128" s="13" t="s">
        <v>24</v>
      </c>
      <c r="F128" s="47" t="s">
        <v>57</v>
      </c>
      <c r="G128" s="29">
        <f>I56</f>
        <v>46156</v>
      </c>
      <c r="H128" s="27">
        <v>14</v>
      </c>
      <c r="I128" s="29">
        <f t="shared" si="15"/>
        <v>46170</v>
      </c>
      <c r="J128" s="66">
        <f t="shared" ca="1" si="9"/>
        <v>0</v>
      </c>
      <c r="K128" s="92">
        <v>0</v>
      </c>
      <c r="L128" s="90"/>
    </row>
    <row r="129" spans="1:12" ht="35.25" customHeight="1" outlineLevel="1" x14ac:dyDescent="0.35">
      <c r="A129" s="86" t="s">
        <v>158</v>
      </c>
      <c r="B129" s="13" t="s">
        <v>25</v>
      </c>
      <c r="C129" s="13" t="s">
        <v>201</v>
      </c>
      <c r="D129" s="13" t="s">
        <v>202</v>
      </c>
      <c r="E129" s="13" t="s">
        <v>24</v>
      </c>
      <c r="F129" s="47" t="s">
        <v>57</v>
      </c>
      <c r="G129" s="29">
        <f>I76</f>
        <v>46225</v>
      </c>
      <c r="H129" s="30">
        <v>7</v>
      </c>
      <c r="I129" s="29">
        <f t="shared" si="15"/>
        <v>46232</v>
      </c>
      <c r="J129" s="66">
        <f t="shared" ca="1" si="9"/>
        <v>0</v>
      </c>
      <c r="K129" s="92">
        <v>0</v>
      </c>
      <c r="L129" s="90"/>
    </row>
    <row r="130" spans="1:12" ht="35.25" customHeight="1" outlineLevel="1" x14ac:dyDescent="0.35">
      <c r="A130" s="86" t="s">
        <v>158</v>
      </c>
      <c r="B130" s="13" t="s">
        <v>27</v>
      </c>
      <c r="C130" s="13" t="s">
        <v>203</v>
      </c>
      <c r="D130" s="13" t="s">
        <v>204</v>
      </c>
      <c r="E130" s="13" t="s">
        <v>29</v>
      </c>
      <c r="F130" s="47" t="s">
        <v>57</v>
      </c>
      <c r="G130" s="40">
        <v>46131</v>
      </c>
      <c r="H130" s="30">
        <v>14</v>
      </c>
      <c r="I130" s="29">
        <f t="shared" si="15"/>
        <v>46145</v>
      </c>
      <c r="J130" s="66">
        <f t="shared" ref="J130:J133" ca="1" si="23">IFERROR(MAX(0,MIN(1,(TODAY()-G130)/(I130-G130))),"")</f>
        <v>0</v>
      </c>
      <c r="K130" s="92">
        <v>0</v>
      </c>
      <c r="L130" s="90"/>
    </row>
    <row r="131" spans="1:12" ht="35.25" customHeight="1" outlineLevel="1" x14ac:dyDescent="0.35">
      <c r="A131" s="86" t="s">
        <v>158</v>
      </c>
      <c r="B131" s="13" t="s">
        <v>27</v>
      </c>
      <c r="C131" s="13" t="s">
        <v>205</v>
      </c>
      <c r="D131" s="13" t="s">
        <v>206</v>
      </c>
      <c r="E131" s="13" t="s">
        <v>29</v>
      </c>
      <c r="F131" s="47" t="s">
        <v>57</v>
      </c>
      <c r="G131" s="29">
        <f>I56-7</f>
        <v>46149</v>
      </c>
      <c r="H131" s="30">
        <v>7</v>
      </c>
      <c r="I131" s="29">
        <f t="shared" si="15"/>
        <v>46156</v>
      </c>
      <c r="J131" s="66">
        <f t="shared" ca="1" si="23"/>
        <v>0</v>
      </c>
      <c r="K131" s="92">
        <v>0</v>
      </c>
      <c r="L131" s="90" t="s">
        <v>328</v>
      </c>
    </row>
    <row r="132" spans="1:12" ht="35.25" customHeight="1" outlineLevel="1" x14ac:dyDescent="0.35">
      <c r="A132" s="86" t="s">
        <v>158</v>
      </c>
      <c r="B132" s="13" t="s">
        <v>27</v>
      </c>
      <c r="C132" s="13" t="s">
        <v>207</v>
      </c>
      <c r="D132" s="13" t="s">
        <v>208</v>
      </c>
      <c r="E132" s="13" t="s">
        <v>29</v>
      </c>
      <c r="F132" s="47" t="s">
        <v>57</v>
      </c>
      <c r="G132" s="29">
        <f>I56-7</f>
        <v>46149</v>
      </c>
      <c r="H132" s="30">
        <v>7</v>
      </c>
      <c r="I132" s="29">
        <f t="shared" si="15"/>
        <v>46156</v>
      </c>
      <c r="J132" s="66">
        <f t="shared" ca="1" si="23"/>
        <v>0</v>
      </c>
      <c r="K132" s="92">
        <v>0</v>
      </c>
      <c r="L132" s="90" t="s">
        <v>329</v>
      </c>
    </row>
    <row r="133" spans="1:12" ht="35.25" customHeight="1" outlineLevel="1" x14ac:dyDescent="0.35">
      <c r="A133" s="86" t="s">
        <v>158</v>
      </c>
      <c r="B133" s="13" t="s">
        <v>28</v>
      </c>
      <c r="C133" s="13" t="s">
        <v>267</v>
      </c>
      <c r="D133" s="13" t="s">
        <v>209</v>
      </c>
      <c r="E133" s="13" t="s">
        <v>37</v>
      </c>
      <c r="F133" s="47" t="s">
        <v>57</v>
      </c>
      <c r="G133" s="40">
        <f>I76</f>
        <v>46225</v>
      </c>
      <c r="H133" s="30">
        <v>14</v>
      </c>
      <c r="I133" s="29">
        <f t="shared" si="15"/>
        <v>46239</v>
      </c>
      <c r="J133" s="66">
        <f t="shared" ca="1" si="23"/>
        <v>0</v>
      </c>
      <c r="K133" s="92">
        <v>0</v>
      </c>
      <c r="L133" s="90" t="s">
        <v>330</v>
      </c>
    </row>
  </sheetData>
  <phoneticPr fontId="1" type="noConversion"/>
  <conditionalFormatting sqref="F5:F133">
    <cfRule type="cellIs" dxfId="3" priority="1" operator="equal">
      <formula>"Delayed"</formula>
    </cfRule>
    <cfRule type="cellIs" dxfId="2" priority="2" operator="equal">
      <formula>"On-track"</formula>
    </cfRule>
    <cfRule type="cellIs" dxfId="1" priority="3" operator="equal">
      <formula>"Completed"</formula>
    </cfRule>
  </conditionalFormatting>
  <pageMargins left="0.75" right="0.75" top="1" bottom="1" header="0.5" footer="0.5"/>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3E26EF8-8E09-4CA8-803D-E80EAFCCDBD3}">
          <x14:formula1>
            <xm:f>'Data Validation List'!$B$2:$B$5</xm:f>
          </x14:formula1>
          <xm:sqref>F4:F133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69F96-DF1D-4A0B-831F-04562767B861}">
  <dimension ref="A3:F31"/>
  <sheetViews>
    <sheetView workbookViewId="0">
      <selection activeCell="C39" sqref="C39"/>
    </sheetView>
  </sheetViews>
  <sheetFormatPr defaultRowHeight="14.5" x14ac:dyDescent="0.35"/>
  <cols>
    <col min="1" max="1" width="27.54296875" bestFit="1" customWidth="1"/>
    <col min="2" max="2" width="15.6328125" bestFit="1" customWidth="1"/>
    <col min="3" max="3" width="8.1796875" bestFit="1" customWidth="1"/>
    <col min="4" max="4" width="10.36328125" bestFit="1" customWidth="1"/>
    <col min="5" max="5" width="7.90625" bestFit="1" customWidth="1"/>
    <col min="6" max="7" width="10.7265625" bestFit="1" customWidth="1"/>
    <col min="8" max="8" width="12.08984375" bestFit="1" customWidth="1"/>
    <col min="9" max="9" width="18.08984375" bestFit="1" customWidth="1"/>
    <col min="10" max="10" width="4.1796875" bestFit="1" customWidth="1"/>
    <col min="11" max="11" width="10.81640625" bestFit="1" customWidth="1"/>
    <col min="12" max="12" width="155.08984375" bestFit="1" customWidth="1"/>
    <col min="13" max="13" width="85.36328125" bestFit="1" customWidth="1"/>
    <col min="14" max="14" width="115.1796875" bestFit="1" customWidth="1"/>
    <col min="15" max="15" width="143.6328125" bestFit="1" customWidth="1"/>
    <col min="16" max="16" width="65.54296875" bestFit="1" customWidth="1"/>
    <col min="17" max="17" width="64.6328125" bestFit="1" customWidth="1"/>
    <col min="18" max="18" width="48.36328125" bestFit="1" customWidth="1"/>
    <col min="19" max="19" width="133.1796875" bestFit="1" customWidth="1"/>
    <col min="20" max="20" width="70" bestFit="1" customWidth="1"/>
    <col min="21" max="21" width="54.453125" bestFit="1" customWidth="1"/>
    <col min="22" max="22" width="39.1796875" bestFit="1" customWidth="1"/>
    <col min="23" max="23" width="96.453125" bestFit="1" customWidth="1"/>
    <col min="24" max="24" width="30" bestFit="1" customWidth="1"/>
    <col min="25" max="25" width="103.54296875" bestFit="1" customWidth="1"/>
    <col min="26" max="26" width="128" bestFit="1" customWidth="1"/>
    <col min="27" max="27" width="132" bestFit="1" customWidth="1"/>
    <col min="28" max="28" width="211.6328125" bestFit="1" customWidth="1"/>
    <col min="29" max="29" width="46.36328125" bestFit="1" customWidth="1"/>
    <col min="30" max="30" width="39" bestFit="1" customWidth="1"/>
    <col min="31" max="31" width="118.81640625" bestFit="1" customWidth="1"/>
    <col min="32" max="32" width="136.90625" bestFit="1" customWidth="1"/>
    <col min="33" max="33" width="30.36328125" bestFit="1" customWidth="1"/>
    <col min="34" max="34" width="112.81640625" bestFit="1" customWidth="1"/>
    <col min="35" max="35" width="44.90625" bestFit="1" customWidth="1"/>
    <col min="36" max="36" width="83.08984375" bestFit="1" customWidth="1"/>
    <col min="37" max="37" width="38.08984375" bestFit="1" customWidth="1"/>
    <col min="38" max="38" width="78.54296875" bestFit="1" customWidth="1"/>
    <col min="39" max="39" width="73.81640625" bestFit="1" customWidth="1"/>
    <col min="40" max="40" width="129.36328125" bestFit="1" customWidth="1"/>
    <col min="41" max="41" width="31" bestFit="1" customWidth="1"/>
    <col min="42" max="42" width="57.1796875" bestFit="1" customWidth="1"/>
    <col min="43" max="43" width="50.1796875" bestFit="1" customWidth="1"/>
    <col min="44" max="44" width="28.453125" bestFit="1" customWidth="1"/>
    <col min="45" max="45" width="100.81640625" bestFit="1" customWidth="1"/>
    <col min="46" max="46" width="83.54296875" bestFit="1" customWidth="1"/>
    <col min="47" max="47" width="40.90625" bestFit="1" customWidth="1"/>
    <col min="48" max="48" width="45.54296875" bestFit="1" customWidth="1"/>
    <col min="49" max="49" width="35.1796875" bestFit="1" customWidth="1"/>
    <col min="50" max="50" width="54.90625" bestFit="1" customWidth="1"/>
    <col min="51" max="51" width="89.453125" bestFit="1" customWidth="1"/>
    <col min="52" max="52" width="169.90625" bestFit="1" customWidth="1"/>
    <col min="53" max="53" width="169.6328125" bestFit="1" customWidth="1"/>
    <col min="54" max="54" width="41.54296875" bestFit="1" customWidth="1"/>
    <col min="55" max="55" width="42.54296875" bestFit="1" customWidth="1"/>
    <col min="56" max="56" width="115.90625" bestFit="1" customWidth="1"/>
    <col min="57" max="57" width="149.54296875" bestFit="1" customWidth="1"/>
    <col min="58" max="58" width="64.453125" bestFit="1" customWidth="1"/>
    <col min="59" max="59" width="36.453125" bestFit="1" customWidth="1"/>
    <col min="60" max="60" width="30" bestFit="1" customWidth="1"/>
    <col min="61" max="61" width="140.6328125" bestFit="1" customWidth="1"/>
    <col min="62" max="62" width="112.90625" bestFit="1" customWidth="1"/>
    <col min="63" max="63" width="66.6328125" bestFit="1" customWidth="1"/>
    <col min="64" max="64" width="128.81640625" bestFit="1" customWidth="1"/>
    <col min="65" max="65" width="57" bestFit="1" customWidth="1"/>
    <col min="66" max="66" width="29.36328125" bestFit="1" customWidth="1"/>
    <col min="67" max="67" width="108.6328125" bestFit="1" customWidth="1"/>
    <col min="68" max="68" width="14.81640625" bestFit="1" customWidth="1"/>
    <col min="69" max="69" width="53.36328125" bestFit="1" customWidth="1"/>
    <col min="70" max="70" width="40.54296875" bestFit="1" customWidth="1"/>
    <col min="71" max="71" width="64.08984375" bestFit="1" customWidth="1"/>
    <col min="72" max="72" width="38.08984375" bestFit="1" customWidth="1"/>
    <col min="73" max="74" width="33.6328125" bestFit="1" customWidth="1"/>
    <col min="75" max="75" width="48.54296875" bestFit="1" customWidth="1"/>
    <col min="76" max="76" width="128.6328125" bestFit="1" customWidth="1"/>
    <col min="77" max="77" width="18.453125" bestFit="1" customWidth="1"/>
    <col min="78" max="78" width="90.90625" bestFit="1" customWidth="1"/>
    <col min="79" max="79" width="98.54296875" bestFit="1" customWidth="1"/>
    <col min="80" max="80" width="52.54296875" bestFit="1" customWidth="1"/>
    <col min="81" max="81" width="55.08984375" bestFit="1" customWidth="1"/>
    <col min="82" max="82" width="75.81640625" bestFit="1" customWidth="1"/>
    <col min="83" max="83" width="63.54296875" bestFit="1" customWidth="1"/>
    <col min="84" max="84" width="53.453125" bestFit="1" customWidth="1"/>
    <col min="85" max="85" width="63.90625" bestFit="1" customWidth="1"/>
    <col min="86" max="86" width="70.6328125" bestFit="1" customWidth="1"/>
    <col min="87" max="87" width="53.81640625" bestFit="1" customWidth="1"/>
    <col min="88" max="88" width="133.453125" bestFit="1" customWidth="1"/>
    <col min="89" max="89" width="71.90625" bestFit="1" customWidth="1"/>
    <col min="90" max="90" width="43.90625" bestFit="1" customWidth="1"/>
    <col min="91" max="91" width="27" bestFit="1" customWidth="1"/>
    <col min="92" max="92" width="24.90625" bestFit="1" customWidth="1"/>
    <col min="93" max="93" width="64.54296875" bestFit="1" customWidth="1"/>
    <col min="94" max="94" width="53.6328125" bestFit="1" customWidth="1"/>
    <col min="95" max="95" width="36.6328125" bestFit="1" customWidth="1"/>
    <col min="96" max="96" width="45.81640625" bestFit="1" customWidth="1"/>
    <col min="97" max="97" width="45.54296875" bestFit="1" customWidth="1"/>
    <col min="98" max="98" width="33.6328125" bestFit="1" customWidth="1"/>
    <col min="99" max="99" width="55.453125" bestFit="1" customWidth="1"/>
    <col min="100" max="100" width="36.36328125" bestFit="1" customWidth="1"/>
    <col min="101" max="101" width="42.1796875" bestFit="1" customWidth="1"/>
    <col min="102" max="102" width="70" bestFit="1" customWidth="1"/>
    <col min="103" max="103" width="60.81640625" bestFit="1" customWidth="1"/>
    <col min="104" max="104" width="125.54296875" bestFit="1" customWidth="1"/>
    <col min="105" max="105" width="113.90625" bestFit="1" customWidth="1"/>
    <col min="106" max="106" width="122" bestFit="1" customWidth="1"/>
    <col min="107" max="107" width="115.36328125" bestFit="1" customWidth="1"/>
    <col min="108" max="108" width="132.6328125" bestFit="1" customWidth="1"/>
    <col min="109" max="109" width="121.6328125" bestFit="1" customWidth="1"/>
    <col min="110" max="110" width="122.1796875" bestFit="1" customWidth="1"/>
    <col min="111" max="111" width="148.54296875" bestFit="1" customWidth="1"/>
    <col min="112" max="112" width="70.08984375" bestFit="1" customWidth="1"/>
    <col min="113" max="113" width="25.453125" bestFit="1" customWidth="1"/>
    <col min="114" max="114" width="50.36328125" bestFit="1" customWidth="1"/>
    <col min="115" max="115" width="39.08984375" bestFit="1" customWidth="1"/>
    <col min="116" max="116" width="92" bestFit="1" customWidth="1"/>
    <col min="117" max="117" width="22.81640625" bestFit="1" customWidth="1"/>
    <col min="118" max="118" width="7" bestFit="1" customWidth="1"/>
    <col min="119" max="119" width="10.81640625" bestFit="1" customWidth="1"/>
  </cols>
  <sheetData>
    <row r="3" spans="1:6" x14ac:dyDescent="0.35">
      <c r="A3" s="93" t="s">
        <v>338</v>
      </c>
      <c r="B3" s="93" t="s">
        <v>336</v>
      </c>
    </row>
    <row r="4" spans="1:6" x14ac:dyDescent="0.35">
      <c r="A4" s="93" t="s">
        <v>351</v>
      </c>
      <c r="B4" t="s">
        <v>57</v>
      </c>
      <c r="C4" t="s">
        <v>9</v>
      </c>
      <c r="D4" t="s">
        <v>10</v>
      </c>
      <c r="E4" t="s">
        <v>11</v>
      </c>
      <c r="F4" t="s">
        <v>337</v>
      </c>
    </row>
    <row r="5" spans="1:6" x14ac:dyDescent="0.35">
      <c r="A5" s="95" t="s">
        <v>109</v>
      </c>
      <c r="B5">
        <v>5</v>
      </c>
      <c r="F5">
        <v>5</v>
      </c>
    </row>
    <row r="6" spans="1:6" x14ac:dyDescent="0.35">
      <c r="A6" s="103" t="s">
        <v>17</v>
      </c>
      <c r="B6">
        <v>5</v>
      </c>
      <c r="F6">
        <v>5</v>
      </c>
    </row>
    <row r="7" spans="1:6" x14ac:dyDescent="0.35">
      <c r="A7" s="95" t="s">
        <v>103</v>
      </c>
      <c r="B7">
        <v>18</v>
      </c>
      <c r="D7">
        <v>1</v>
      </c>
      <c r="F7">
        <v>19</v>
      </c>
    </row>
    <row r="8" spans="1:6" x14ac:dyDescent="0.35">
      <c r="A8" s="103" t="s">
        <v>17</v>
      </c>
      <c r="B8">
        <v>14</v>
      </c>
      <c r="D8">
        <v>1</v>
      </c>
      <c r="F8">
        <v>15</v>
      </c>
    </row>
    <row r="9" spans="1:6" x14ac:dyDescent="0.35">
      <c r="A9" s="103" t="s">
        <v>15</v>
      </c>
      <c r="B9">
        <v>4</v>
      </c>
      <c r="F9">
        <v>4</v>
      </c>
    </row>
    <row r="10" spans="1:6" x14ac:dyDescent="0.35">
      <c r="A10" s="95" t="s">
        <v>158</v>
      </c>
      <c r="B10">
        <v>35</v>
      </c>
      <c r="C10">
        <v>4</v>
      </c>
      <c r="D10">
        <v>1</v>
      </c>
      <c r="F10">
        <v>40</v>
      </c>
    </row>
    <row r="11" spans="1:6" x14ac:dyDescent="0.35">
      <c r="A11" s="103" t="s">
        <v>21</v>
      </c>
      <c r="B11">
        <v>11</v>
      </c>
      <c r="C11">
        <v>1</v>
      </c>
      <c r="D11">
        <v>1</v>
      </c>
      <c r="F11">
        <v>13</v>
      </c>
    </row>
    <row r="12" spans="1:6" x14ac:dyDescent="0.35">
      <c r="A12" s="103" t="s">
        <v>19</v>
      </c>
      <c r="B12">
        <v>10</v>
      </c>
      <c r="F12">
        <v>10</v>
      </c>
    </row>
    <row r="13" spans="1:6" x14ac:dyDescent="0.35">
      <c r="A13" s="103" t="s">
        <v>25</v>
      </c>
      <c r="B13">
        <v>4</v>
      </c>
      <c r="C13">
        <v>1</v>
      </c>
      <c r="F13">
        <v>5</v>
      </c>
    </row>
    <row r="14" spans="1:6" x14ac:dyDescent="0.35">
      <c r="A14" s="103" t="s">
        <v>22</v>
      </c>
      <c r="B14">
        <v>3</v>
      </c>
      <c r="C14">
        <v>1</v>
      </c>
      <c r="F14">
        <v>4</v>
      </c>
    </row>
    <row r="15" spans="1:6" x14ac:dyDescent="0.35">
      <c r="A15" s="103" t="s">
        <v>23</v>
      </c>
      <c r="B15">
        <v>3</v>
      </c>
      <c r="C15">
        <v>1</v>
      </c>
      <c r="F15">
        <v>4</v>
      </c>
    </row>
    <row r="16" spans="1:6" x14ac:dyDescent="0.35">
      <c r="A16" s="103" t="s">
        <v>27</v>
      </c>
      <c r="B16">
        <v>3</v>
      </c>
      <c r="F16">
        <v>3</v>
      </c>
    </row>
    <row r="17" spans="1:6" x14ac:dyDescent="0.35">
      <c r="A17" s="103" t="s">
        <v>28</v>
      </c>
      <c r="B17">
        <v>1</v>
      </c>
      <c r="F17">
        <v>1</v>
      </c>
    </row>
    <row r="18" spans="1:6" x14ac:dyDescent="0.35">
      <c r="A18" s="95" t="s">
        <v>130</v>
      </c>
      <c r="B18">
        <v>9</v>
      </c>
      <c r="F18">
        <v>9</v>
      </c>
    </row>
    <row r="19" spans="1:6" x14ac:dyDescent="0.35">
      <c r="A19" s="103" t="s">
        <v>214</v>
      </c>
      <c r="B19">
        <v>4</v>
      </c>
      <c r="F19">
        <v>4</v>
      </c>
    </row>
    <row r="20" spans="1:6" x14ac:dyDescent="0.35">
      <c r="A20" s="103" t="s">
        <v>15</v>
      </c>
      <c r="B20">
        <v>2</v>
      </c>
      <c r="F20">
        <v>2</v>
      </c>
    </row>
    <row r="21" spans="1:6" x14ac:dyDescent="0.35">
      <c r="A21" s="103" t="s">
        <v>23</v>
      </c>
      <c r="B21">
        <v>2</v>
      </c>
      <c r="F21">
        <v>2</v>
      </c>
    </row>
    <row r="22" spans="1:6" x14ac:dyDescent="0.35">
      <c r="A22" s="103" t="s">
        <v>25</v>
      </c>
      <c r="B22">
        <v>1</v>
      </c>
      <c r="F22">
        <v>1</v>
      </c>
    </row>
    <row r="23" spans="1:6" x14ac:dyDescent="0.35">
      <c r="A23" s="95" t="s">
        <v>13</v>
      </c>
      <c r="B23">
        <v>14</v>
      </c>
      <c r="C23">
        <v>19</v>
      </c>
      <c r="D23">
        <v>12</v>
      </c>
      <c r="E23">
        <v>1</v>
      </c>
      <c r="F23">
        <v>46</v>
      </c>
    </row>
    <row r="24" spans="1:6" x14ac:dyDescent="0.35">
      <c r="A24" s="103" t="s">
        <v>49</v>
      </c>
      <c r="B24">
        <v>4</v>
      </c>
      <c r="C24">
        <v>2</v>
      </c>
      <c r="D24">
        <v>4</v>
      </c>
      <c r="F24">
        <v>10</v>
      </c>
    </row>
    <row r="25" spans="1:6" x14ac:dyDescent="0.35">
      <c r="A25" s="103" t="s">
        <v>90</v>
      </c>
      <c r="B25">
        <v>2</v>
      </c>
      <c r="C25">
        <v>2</v>
      </c>
      <c r="D25">
        <v>5</v>
      </c>
      <c r="F25">
        <v>9</v>
      </c>
    </row>
    <row r="26" spans="1:6" x14ac:dyDescent="0.35">
      <c r="A26" s="103" t="s">
        <v>84</v>
      </c>
      <c r="B26">
        <v>2</v>
      </c>
      <c r="C26">
        <v>6</v>
      </c>
      <c r="F26">
        <v>8</v>
      </c>
    </row>
    <row r="27" spans="1:6" x14ac:dyDescent="0.35">
      <c r="A27" s="103" t="s">
        <v>62</v>
      </c>
      <c r="B27">
        <v>1</v>
      </c>
      <c r="C27">
        <v>3</v>
      </c>
      <c r="D27">
        <v>2</v>
      </c>
      <c r="F27">
        <v>6</v>
      </c>
    </row>
    <row r="28" spans="1:6" x14ac:dyDescent="0.35">
      <c r="A28" s="103" t="s">
        <v>69</v>
      </c>
      <c r="B28">
        <v>2</v>
      </c>
      <c r="C28">
        <v>3</v>
      </c>
      <c r="E28">
        <v>1</v>
      </c>
      <c r="F28">
        <v>6</v>
      </c>
    </row>
    <row r="29" spans="1:6" x14ac:dyDescent="0.35">
      <c r="A29" s="103" t="s">
        <v>78</v>
      </c>
      <c r="B29">
        <v>2</v>
      </c>
      <c r="C29">
        <v>2</v>
      </c>
      <c r="F29">
        <v>4</v>
      </c>
    </row>
    <row r="30" spans="1:6" x14ac:dyDescent="0.35">
      <c r="A30" s="103" t="s">
        <v>74</v>
      </c>
      <c r="B30">
        <v>1</v>
      </c>
      <c r="C30">
        <v>1</v>
      </c>
      <c r="D30">
        <v>1</v>
      </c>
      <c r="F30">
        <v>3</v>
      </c>
    </row>
    <row r="31" spans="1:6" x14ac:dyDescent="0.35">
      <c r="A31" s="95" t="s">
        <v>337</v>
      </c>
      <c r="B31">
        <v>81</v>
      </c>
      <c r="C31">
        <v>23</v>
      </c>
      <c r="D31">
        <v>14</v>
      </c>
      <c r="E31">
        <v>1</v>
      </c>
      <c r="F31">
        <v>119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1045A-44D2-49CB-ABC9-619A4644E9DD}">
  <dimension ref="A1:B5"/>
  <sheetViews>
    <sheetView workbookViewId="0">
      <selection activeCell="B6" sqref="B6"/>
    </sheetView>
  </sheetViews>
  <sheetFormatPr defaultRowHeight="14.5" x14ac:dyDescent="0.35"/>
  <sheetData>
    <row r="1" spans="1:2" x14ac:dyDescent="0.35">
      <c r="A1" s="2" t="s">
        <v>210</v>
      </c>
      <c r="B1" s="2" t="s">
        <v>43</v>
      </c>
    </row>
    <row r="2" spans="1:2" x14ac:dyDescent="0.35">
      <c r="A2" t="s">
        <v>211</v>
      </c>
      <c r="B2" t="s">
        <v>57</v>
      </c>
    </row>
    <row r="3" spans="1:2" x14ac:dyDescent="0.35">
      <c r="A3" t="s">
        <v>212</v>
      </c>
      <c r="B3" t="s">
        <v>11</v>
      </c>
    </row>
    <row r="4" spans="1:2" x14ac:dyDescent="0.35">
      <c r="B4" t="s">
        <v>9</v>
      </c>
    </row>
    <row r="5" spans="1:2" x14ac:dyDescent="0.35">
      <c r="B5" t="s">
        <v>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4839370989C172478E064E5BCF4801F8" ma:contentTypeVersion="3" ma:contentTypeDescription="Ein neues Dokument erstellen." ma:contentTypeScope="" ma:versionID="8b4a6b4d51c90acf6be755d9a00ac49c">
  <xsd:schema xmlns:xsd="http://www.w3.org/2001/XMLSchema" xmlns:xs="http://www.w3.org/2001/XMLSchema" xmlns:p="http://schemas.microsoft.com/office/2006/metadata/properties" xmlns:ns2="21f0fdc0-0d93-4955-8588-5964cc3f9f5f" targetNamespace="http://schemas.microsoft.com/office/2006/metadata/properties" ma:root="true" ma:fieldsID="627b31aa04117aa33a9e667f5f46a580" ns2:_="">
    <xsd:import namespace="21f0fdc0-0d93-4955-8588-5964cc3f9f5f"/>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f0fdc0-0d93-4955-8588-5964cc3f9f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6D5D48F-B52B-46DE-90FB-14298812F5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1f0fdc0-0d93-4955-8588-5964cc3f9f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D450B77-4CFA-445A-9294-C12A6D24BA5E}">
  <ds:schemaRefs>
    <ds:schemaRef ds:uri="http://schemas.microsoft.com/sharepoint/v3/contenttype/forms"/>
  </ds:schemaRefs>
</ds:datastoreItem>
</file>

<file path=customXml/itemProps3.xml><?xml version="1.0" encoding="utf-8"?>
<ds:datastoreItem xmlns:ds="http://schemas.openxmlformats.org/officeDocument/2006/customXml" ds:itemID="{D8F8831F-A399-4D90-8288-EB5B59545CB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Summary</vt:lpstr>
      <vt:lpstr>JV Readiness Plan</vt:lpstr>
      <vt:lpstr>Pivot Table</vt:lpstr>
      <vt:lpstr>Data Validation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Steven MELKI</cp:lastModifiedBy>
  <cp:revision/>
  <dcterms:created xsi:type="dcterms:W3CDTF">2026-01-16T11:47:19Z</dcterms:created>
  <dcterms:modified xsi:type="dcterms:W3CDTF">2026-03-10T07:52:51Z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0x0101004839370989C172478E064E5BCF4801F8</vt:lpwstr>
  </property>
</Properties>
</file>