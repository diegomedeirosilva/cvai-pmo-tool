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vaberlin.sharepoint.com/sites/MAA1XXA-Crystal/Freigegebene Dokumente/Project/6. Working files/01 Readiness Plans/"/>
    </mc:Choice>
  </mc:AlternateContent>
  <xr:revisionPtr revIDLastSave="261" documentId="8_{D621DC2B-7B29-4154-A641-C1A62B7A2AD6}" xr6:coauthVersionLast="47" xr6:coauthVersionMax="47" xr10:uidLastSave="{8D267D4E-C3FD-449A-87F7-2C29FA71DB31}"/>
  <bookViews>
    <workbookView xWindow="-113" yWindow="-113" windowWidth="24267" windowHeight="14526" tabRatio="638" activeTab="2" xr2:uid="{00000000-000D-0000-FFFF-FFFF00000000}"/>
  </bookViews>
  <sheets>
    <sheet name="Cover" sheetId="8" r:id="rId1"/>
    <sheet name="Summary" sheetId="5" r:id="rId2"/>
    <sheet name="JV Readiness Plan" sheetId="1" r:id="rId3"/>
    <sheet name="Data Validation List" sheetId="4" state="hidden" r:id="rId4"/>
  </sheets>
  <definedNames>
    <definedName name="_xlnm._FilterDatabase" localSheetId="2" hidden="1">'JV Readiness Plan'!$A$3:$K$133</definedName>
    <definedName name="_xlnm._FilterDatabase" localSheetId="1" hidden="1">Summary!$B$3:$G$28</definedName>
    <definedName name="POWER_USER_LINK_EDA81D4C_E424_4C6E_8A36_5F1A4994EB75" comment="{&quot;Id&quot;:&quot;POWER_USER_LINK_EDA81D4C_E424_4C6E_8A36_5F1A4994EB75&quot;,&quot;SourceFullName&quot;:&quot;https://cvaberlin.sharepoint.com/sites/MAA1XXA-Crystal/Freigegebene Dokumente/Project/6. Working files/01 Readiness Plans/Maaden - JV Readiness Plan v4.xlsx!Summary!R4C1:R17C2&quot;">"Summary!R4C1:R17C2"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5" l="1"/>
  <c r="K20" i="5"/>
  <c r="M20" i="5"/>
  <c r="L20" i="5"/>
  <c r="N19" i="5"/>
  <c r="K19" i="5"/>
  <c r="M19" i="5"/>
  <c r="L19" i="5"/>
  <c r="N18" i="5"/>
  <c r="K18" i="5"/>
  <c r="M18" i="5"/>
  <c r="L18" i="5"/>
  <c r="N17" i="5"/>
  <c r="K17" i="5"/>
  <c r="M17" i="5"/>
  <c r="L17" i="5"/>
  <c r="N16" i="5"/>
  <c r="K16" i="5"/>
  <c r="M16" i="5"/>
  <c r="L16" i="5"/>
  <c r="N15" i="5"/>
  <c r="K15" i="5"/>
  <c r="M15" i="5"/>
  <c r="L15" i="5"/>
  <c r="N14" i="5"/>
  <c r="K14" i="5"/>
  <c r="M14" i="5"/>
  <c r="L14" i="5"/>
  <c r="N13" i="5"/>
  <c r="K13" i="5"/>
  <c r="M13" i="5"/>
  <c r="L13" i="5"/>
  <c r="N12" i="5"/>
  <c r="K12" i="5"/>
  <c r="M12" i="5"/>
  <c r="L12" i="5"/>
  <c r="N11" i="5"/>
  <c r="K11" i="5"/>
  <c r="M11" i="5"/>
  <c r="L11" i="5"/>
  <c r="N10" i="5"/>
  <c r="K10" i="5"/>
  <c r="M10" i="5"/>
  <c r="L10" i="5"/>
  <c r="N9" i="5"/>
  <c r="K9" i="5"/>
  <c r="M9" i="5"/>
  <c r="L9" i="5"/>
  <c r="N8" i="5"/>
  <c r="K8" i="5"/>
  <c r="M8" i="5"/>
  <c r="L8" i="5"/>
  <c r="N7" i="5"/>
  <c r="K7" i="5"/>
  <c r="M7" i="5"/>
  <c r="L7" i="5"/>
  <c r="N6" i="5"/>
  <c r="K6" i="5"/>
  <c r="M6" i="5"/>
  <c r="L6" i="5"/>
  <c r="N5" i="5"/>
  <c r="K5" i="5"/>
  <c r="M5" i="5"/>
  <c r="L5" i="5"/>
  <c r="N4" i="5"/>
  <c r="K4" i="5"/>
  <c r="M4" i="5"/>
  <c r="L4" i="5"/>
  <c r="I65" i="1"/>
  <c r="E17" i="5"/>
  <c r="F17" i="5"/>
  <c r="D17" i="5"/>
  <c r="G17" i="5"/>
  <c r="E19" i="5"/>
  <c r="F19" i="5"/>
  <c r="D19" i="5"/>
  <c r="G19" i="5"/>
  <c r="E18" i="5"/>
  <c r="F18" i="5"/>
  <c r="D18" i="5"/>
  <c r="G18" i="5"/>
  <c r="E4" i="5"/>
  <c r="F4" i="5"/>
  <c r="D4" i="5"/>
  <c r="G4" i="5"/>
  <c r="E26" i="5"/>
  <c r="F26" i="5"/>
  <c r="D26" i="5"/>
  <c r="G26" i="5"/>
  <c r="E27" i="5"/>
  <c r="F27" i="5"/>
  <c r="D27" i="5"/>
  <c r="G27" i="5"/>
  <c r="E8" i="5"/>
  <c r="F8" i="5"/>
  <c r="D8" i="5"/>
  <c r="G8" i="5"/>
  <c r="E25" i="5"/>
  <c r="F25" i="5"/>
  <c r="D25" i="5"/>
  <c r="G25" i="5"/>
  <c r="E21" i="5"/>
  <c r="F21" i="5"/>
  <c r="D21" i="5"/>
  <c r="G21" i="5"/>
  <c r="E22" i="5"/>
  <c r="F22" i="5"/>
  <c r="D22" i="5"/>
  <c r="G22" i="5"/>
  <c r="E7" i="5"/>
  <c r="F7" i="5"/>
  <c r="D7" i="5"/>
  <c r="G7" i="5"/>
  <c r="E23" i="5"/>
  <c r="F23" i="5"/>
  <c r="D23" i="5"/>
  <c r="G23" i="5"/>
  <c r="E6" i="5"/>
  <c r="F6" i="5"/>
  <c r="D6" i="5"/>
  <c r="G6" i="5"/>
  <c r="E15" i="5"/>
  <c r="F15" i="5"/>
  <c r="D15" i="5"/>
  <c r="G15" i="5"/>
  <c r="E14" i="5"/>
  <c r="F14" i="5"/>
  <c r="D14" i="5"/>
  <c r="G14" i="5"/>
  <c r="E16" i="5"/>
  <c r="F16" i="5"/>
  <c r="D16" i="5"/>
  <c r="G16" i="5"/>
  <c r="E28" i="5"/>
  <c r="F28" i="5"/>
  <c r="D28" i="5"/>
  <c r="G28" i="5"/>
  <c r="E12" i="5"/>
  <c r="F12" i="5"/>
  <c r="D12" i="5"/>
  <c r="G12" i="5"/>
  <c r="E5" i="5"/>
  <c r="F5" i="5"/>
  <c r="D5" i="5"/>
  <c r="G5" i="5"/>
  <c r="E13" i="5"/>
  <c r="F13" i="5"/>
  <c r="D13" i="5"/>
  <c r="G13" i="5"/>
  <c r="E20" i="5"/>
  <c r="F20" i="5"/>
  <c r="D20" i="5"/>
  <c r="G20" i="5"/>
  <c r="E11" i="5"/>
  <c r="F11" i="5"/>
  <c r="D11" i="5"/>
  <c r="G11" i="5"/>
  <c r="E10" i="5"/>
  <c r="F10" i="5"/>
  <c r="D10" i="5"/>
  <c r="G10" i="5"/>
  <c r="E9" i="5"/>
  <c r="F9" i="5"/>
  <c r="D9" i="5"/>
  <c r="G9" i="5"/>
  <c r="E24" i="5"/>
  <c r="F24" i="5"/>
  <c r="D24" i="5"/>
  <c r="G24" i="5"/>
  <c r="I62" i="1"/>
  <c r="I55" i="1"/>
  <c r="J55" i="1" s="1"/>
  <c r="I53" i="1"/>
  <c r="J53" i="1" s="1"/>
  <c r="I51" i="1"/>
  <c r="G52" i="1" s="1"/>
  <c r="I50" i="1"/>
  <c r="J50" i="1" s="1"/>
  <c r="I49" i="1"/>
  <c r="J49" i="1" s="1"/>
  <c r="I34" i="1"/>
  <c r="I130" i="1"/>
  <c r="J130" i="1" s="1"/>
  <c r="I120" i="1"/>
  <c r="J120" i="1" s="1"/>
  <c r="I97" i="1"/>
  <c r="I95" i="1"/>
  <c r="I94" i="1"/>
  <c r="J94" i="1" s="1"/>
  <c r="I104" i="1"/>
  <c r="J104" i="1" s="1"/>
  <c r="I70" i="1"/>
  <c r="I67" i="1"/>
  <c r="J67" i="1" s="1"/>
  <c r="I66" i="1"/>
  <c r="J66" i="1" s="1"/>
  <c r="I64" i="1"/>
  <c r="J64" i="1" s="1"/>
  <c r="I61" i="1"/>
  <c r="J61" i="1" s="1"/>
  <c r="I60" i="1"/>
  <c r="J60" i="1" s="1"/>
  <c r="I5" i="1"/>
  <c r="J5" i="1" s="1"/>
  <c r="I58" i="1"/>
  <c r="J58" i="1" s="1"/>
  <c r="I48" i="1"/>
  <c r="J48" i="1" s="1"/>
  <c r="I42" i="1"/>
  <c r="J42" i="1" s="1"/>
  <c r="I41" i="1"/>
  <c r="J41" i="1" s="1"/>
  <c r="I40" i="1"/>
  <c r="J40" i="1" s="1"/>
  <c r="I39" i="1"/>
  <c r="J39" i="1" s="1"/>
  <c r="I38" i="1"/>
  <c r="J38" i="1" s="1"/>
  <c r="I45" i="1"/>
  <c r="J45" i="1" s="1"/>
  <c r="I44" i="1"/>
  <c r="J44" i="1" s="1"/>
  <c r="I43" i="1"/>
  <c r="J43" i="1" s="1"/>
  <c r="I33" i="1"/>
  <c r="I29" i="1"/>
  <c r="I8" i="1"/>
  <c r="I25" i="1"/>
  <c r="J25" i="1" s="1"/>
  <c r="I22" i="1"/>
  <c r="J22" i="1" s="1"/>
  <c r="I18" i="1"/>
  <c r="J18" i="1" s="1"/>
  <c r="I15" i="1"/>
  <c r="J18" i="5" l="1"/>
  <c r="C15" i="5"/>
  <c r="J6" i="5"/>
  <c r="J9" i="5"/>
  <c r="J12" i="5"/>
  <c r="J15" i="5"/>
  <c r="C21" i="5"/>
  <c r="C27" i="5"/>
  <c r="C18" i="5"/>
  <c r="J4" i="5"/>
  <c r="J7" i="5"/>
  <c r="J10" i="5"/>
  <c r="J13" i="5"/>
  <c r="J16" i="5"/>
  <c r="J19" i="5"/>
  <c r="J5" i="5"/>
  <c r="J8" i="5"/>
  <c r="J11" i="5"/>
  <c r="J14" i="5"/>
  <c r="J17" i="5"/>
  <c r="J20" i="5"/>
  <c r="C24" i="5"/>
  <c r="C20" i="5"/>
  <c r="C10" i="5"/>
  <c r="C13" i="5"/>
  <c r="C28" i="5"/>
  <c r="C7" i="5"/>
  <c r="C25" i="5"/>
  <c r="C26" i="5"/>
  <c r="C19" i="5"/>
  <c r="C11" i="5"/>
  <c r="C5" i="5"/>
  <c r="C16" i="5"/>
  <c r="C6" i="5"/>
  <c r="C22" i="5"/>
  <c r="C8" i="5"/>
  <c r="C4" i="5"/>
  <c r="C17" i="5"/>
  <c r="C12" i="5"/>
  <c r="C23" i="5"/>
  <c r="C9" i="5"/>
  <c r="C14" i="5"/>
  <c r="K2" i="5"/>
  <c r="M2" i="5"/>
  <c r="L2" i="5"/>
  <c r="N2" i="5"/>
  <c r="D2" i="5"/>
  <c r="G2" i="5"/>
  <c r="E2" i="5"/>
  <c r="F2" i="5"/>
  <c r="J62" i="1"/>
  <c r="I63" i="1"/>
  <c r="J63" i="1" s="1"/>
  <c r="I23" i="1"/>
  <c r="J23" i="1" s="1"/>
  <c r="G59" i="1"/>
  <c r="I59" i="1" s="1"/>
  <c r="J59" i="1" s="1"/>
  <c r="G19" i="1"/>
  <c r="G26" i="1"/>
  <c r="G54" i="1"/>
  <c r="I54" i="1" s="1"/>
  <c r="J54" i="1" s="1"/>
  <c r="I52" i="1"/>
  <c r="J52" i="1" s="1"/>
  <c r="J51" i="1"/>
  <c r="G105" i="1"/>
  <c r="I105" i="1" s="1"/>
  <c r="I115" i="1"/>
  <c r="J115" i="1" s="1"/>
  <c r="J29" i="1"/>
  <c r="J33" i="1"/>
  <c r="G121" i="1"/>
  <c r="I121" i="1" s="1"/>
  <c r="J8" i="1"/>
  <c r="G125" i="1"/>
  <c r="G96" i="1"/>
  <c r="J95" i="1"/>
  <c r="J97" i="1"/>
  <c r="G98" i="1"/>
  <c r="I98" i="1" s="1"/>
  <c r="J98" i="1" s="1"/>
  <c r="G56" i="1"/>
  <c r="G16" i="1"/>
  <c r="I16" i="1" s="1"/>
  <c r="J15" i="1"/>
  <c r="J70" i="1"/>
  <c r="G7" i="1"/>
  <c r="G6" i="1"/>
  <c r="G71" i="1"/>
  <c r="G46" i="1"/>
  <c r="D11" i="8"/>
  <c r="J2" i="5" l="1"/>
  <c r="C2" i="5"/>
  <c r="I7" i="1"/>
  <c r="G24" i="1"/>
  <c r="I24" i="1" s="1"/>
  <c r="J24" i="1" s="1"/>
  <c r="G123" i="1"/>
  <c r="I123" i="1" s="1"/>
  <c r="J123" i="1" s="1"/>
  <c r="G124" i="1"/>
  <c r="I56" i="1"/>
  <c r="J56" i="1" s="1"/>
  <c r="G106" i="1"/>
  <c r="I106" i="1" s="1"/>
  <c r="G110" i="1"/>
  <c r="I96" i="1"/>
  <c r="J96" i="1" s="1"/>
  <c r="J105" i="1"/>
  <c r="G107" i="1"/>
  <c r="I107" i="1" s="1"/>
  <c r="I125" i="1"/>
  <c r="J125" i="1" s="1"/>
  <c r="G47" i="1"/>
  <c r="J16" i="1"/>
  <c r="I30" i="1"/>
  <c r="I71" i="1"/>
  <c r="J71" i="1" s="1"/>
  <c r="I6" i="1"/>
  <c r="G37" i="1"/>
  <c r="I46" i="1"/>
  <c r="J46" i="1" s="1"/>
  <c r="J34" i="1"/>
  <c r="G17" i="1"/>
  <c r="G117" i="1" l="1"/>
  <c r="G88" i="1"/>
  <c r="I88" i="1" s="1"/>
  <c r="G89" i="1" s="1"/>
  <c r="J106" i="1"/>
  <c r="J107" i="1"/>
  <c r="G108" i="1"/>
  <c r="J7" i="1"/>
  <c r="G9" i="1"/>
  <c r="I9" i="1" s="1"/>
  <c r="J9" i="1" s="1"/>
  <c r="G132" i="1"/>
  <c r="G131" i="1"/>
  <c r="G128" i="1"/>
  <c r="G127" i="1"/>
  <c r="G126" i="1"/>
  <c r="I69" i="1"/>
  <c r="J69" i="1" s="1"/>
  <c r="G68" i="1"/>
  <c r="I68" i="1" s="1"/>
  <c r="J65" i="1"/>
  <c r="I47" i="1"/>
  <c r="H47" i="1" s="1"/>
  <c r="I26" i="1"/>
  <c r="J6" i="1"/>
  <c r="J30" i="1"/>
  <c r="G31" i="1"/>
  <c r="G28" i="1" s="1"/>
  <c r="I37" i="1"/>
  <c r="H37" i="1" s="1"/>
  <c r="G35" i="1"/>
  <c r="J121" i="1"/>
  <c r="I17" i="1"/>
  <c r="J17" i="1" s="1"/>
  <c r="I117" i="1" l="1"/>
  <c r="I89" i="1"/>
  <c r="J89" i="1" s="1"/>
  <c r="J88" i="1"/>
  <c r="I132" i="1"/>
  <c r="J132" i="1" s="1"/>
  <c r="I131" i="1"/>
  <c r="J131" i="1" s="1"/>
  <c r="I128" i="1"/>
  <c r="J128" i="1" s="1"/>
  <c r="I127" i="1"/>
  <c r="J127" i="1" s="1"/>
  <c r="I126" i="1"/>
  <c r="J126" i="1" s="1"/>
  <c r="I124" i="1"/>
  <c r="J124" i="1" s="1"/>
  <c r="I31" i="1"/>
  <c r="I28" i="1" s="1"/>
  <c r="G72" i="1"/>
  <c r="I72" i="1" s="1"/>
  <c r="G73" i="1" s="1"/>
  <c r="J68" i="1"/>
  <c r="G27" i="1"/>
  <c r="I27" i="1" s="1"/>
  <c r="J26" i="1"/>
  <c r="G10" i="1"/>
  <c r="I35" i="1"/>
  <c r="G118" i="1" l="1"/>
  <c r="J117" i="1"/>
  <c r="J31" i="1"/>
  <c r="J72" i="1"/>
  <c r="J27" i="1"/>
  <c r="G21" i="1"/>
  <c r="G36" i="1"/>
  <c r="J35" i="1"/>
  <c r="I73" i="1"/>
  <c r="G75" i="1" s="1"/>
  <c r="I10" i="1"/>
  <c r="I21" i="1"/>
  <c r="I118" i="1" l="1"/>
  <c r="I75" i="1"/>
  <c r="J75" i="1" s="1"/>
  <c r="G11" i="1"/>
  <c r="J10" i="1"/>
  <c r="G102" i="1"/>
  <c r="I102" i="1" s="1"/>
  <c r="J102" i="1" s="1"/>
  <c r="H21" i="1"/>
  <c r="I36" i="1"/>
  <c r="G32" i="1"/>
  <c r="I19" i="1"/>
  <c r="G74" i="1"/>
  <c r="J73" i="1"/>
  <c r="G119" i="1" l="1"/>
  <c r="I119" i="1" s="1"/>
  <c r="J119" i="1" s="1"/>
  <c r="J118" i="1"/>
  <c r="I11" i="1"/>
  <c r="G20" i="1"/>
  <c r="J19" i="1"/>
  <c r="J36" i="1"/>
  <c r="I32" i="1"/>
  <c r="H32" i="1" s="1"/>
  <c r="I74" i="1"/>
  <c r="G12" i="1" l="1"/>
  <c r="J11" i="1"/>
  <c r="G14" i="1"/>
  <c r="I20" i="1"/>
  <c r="I14" i="1" s="1"/>
  <c r="J74" i="1"/>
  <c r="G76" i="1"/>
  <c r="I12" i="1" l="1"/>
  <c r="J20" i="1"/>
  <c r="H14" i="1"/>
  <c r="I76" i="1"/>
  <c r="G57" i="1"/>
  <c r="G112" i="1" l="1"/>
  <c r="I112" i="1" s="1"/>
  <c r="J112" i="1" s="1"/>
  <c r="G116" i="1"/>
  <c r="G13" i="1"/>
  <c r="J12" i="1"/>
  <c r="G111" i="1"/>
  <c r="I111" i="1" s="1"/>
  <c r="J111" i="1" s="1"/>
  <c r="G101" i="1"/>
  <c r="G122" i="1"/>
  <c r="G133" i="1"/>
  <c r="G129" i="1"/>
  <c r="I129" i="1" s="1"/>
  <c r="J129" i="1" s="1"/>
  <c r="I108" i="1"/>
  <c r="G109" i="1" s="1"/>
  <c r="I114" i="1"/>
  <c r="J114" i="1" s="1"/>
  <c r="G113" i="1"/>
  <c r="I113" i="1" s="1"/>
  <c r="J113" i="1" s="1"/>
  <c r="I110" i="1"/>
  <c r="I99" i="1"/>
  <c r="G100" i="1"/>
  <c r="G90" i="1"/>
  <c r="G83" i="1"/>
  <c r="I83" i="1" s="1"/>
  <c r="J83" i="1" s="1"/>
  <c r="I57" i="1"/>
  <c r="H57" i="1" s="1"/>
  <c r="G79" i="1"/>
  <c r="I79" i="1" s="1"/>
  <c r="J79" i="1" s="1"/>
  <c r="G80" i="1"/>
  <c r="I80" i="1" s="1"/>
  <c r="G82" i="1"/>
  <c r="I82" i="1" s="1"/>
  <c r="J82" i="1" s="1"/>
  <c r="G84" i="1"/>
  <c r="I84" i="1" s="1"/>
  <c r="J84" i="1" s="1"/>
  <c r="G85" i="1"/>
  <c r="I85" i="1" s="1"/>
  <c r="J85" i="1" s="1"/>
  <c r="G86" i="1"/>
  <c r="I86" i="1" s="1"/>
  <c r="J86" i="1" s="1"/>
  <c r="G78" i="1"/>
  <c r="G81" i="1"/>
  <c r="I81" i="1" s="1"/>
  <c r="J81" i="1" s="1"/>
  <c r="J76" i="1"/>
  <c r="G91" i="1" l="1"/>
  <c r="I90" i="1"/>
  <c r="I116" i="1"/>
  <c r="J116" i="1" s="1"/>
  <c r="G4" i="1"/>
  <c r="I13" i="1"/>
  <c r="I122" i="1"/>
  <c r="J122" i="1" s="1"/>
  <c r="I133" i="1"/>
  <c r="J133" i="1" s="1"/>
  <c r="J110" i="1"/>
  <c r="J108" i="1"/>
  <c r="J99" i="1"/>
  <c r="I100" i="1"/>
  <c r="I78" i="1"/>
  <c r="G77" i="1"/>
  <c r="I91" i="1" l="1"/>
  <c r="G92" i="1" s="1"/>
  <c r="I92" i="1" s="1"/>
  <c r="J92" i="1" s="1"/>
  <c r="I4" i="1"/>
  <c r="H4" i="1" s="1"/>
  <c r="J13" i="1"/>
  <c r="J100" i="1"/>
  <c r="G103" i="1"/>
  <c r="G93" i="1" s="1"/>
  <c r="J90" i="1"/>
  <c r="I109" i="1"/>
  <c r="J109" i="1" s="1"/>
  <c r="I101" i="1"/>
  <c r="I77" i="1"/>
  <c r="J78" i="1"/>
  <c r="I87" i="1" l="1"/>
  <c r="G87" i="1"/>
  <c r="J91" i="1"/>
  <c r="I103" i="1"/>
  <c r="I93" i="1" s="1"/>
  <c r="J101" i="1"/>
  <c r="H87" i="1" l="1"/>
  <c r="J103" i="1"/>
  <c r="H93" i="1" l="1"/>
  <c r="H77" i="1" l="1"/>
  <c r="J80" i="1"/>
  <c r="I1" i="1" l="1"/>
  <c r="H28" i="1"/>
</calcChain>
</file>

<file path=xl/sharedStrings.xml><?xml version="1.0" encoding="utf-8"?>
<sst xmlns="http://schemas.openxmlformats.org/spreadsheetml/2006/main" count="807" uniqueCount="314">
  <si>
    <t>Title</t>
  </si>
  <si>
    <t>Project Crystal - JV Day 1 Readiness Plan</t>
  </si>
  <si>
    <t>Description</t>
  </si>
  <si>
    <t>All actions required to achieve JV Day-1 operational readiness</t>
  </si>
  <si>
    <t>Date</t>
  </si>
  <si>
    <t>REQUIREMENTS BY OWNER</t>
  </si>
  <si>
    <t>Owner</t>
  </si>
  <si>
    <t>Total</t>
  </si>
  <si>
    <t>Not started</t>
  </si>
  <si>
    <t>On-track</t>
  </si>
  <si>
    <t>Completed</t>
  </si>
  <si>
    <t>Delayed</t>
  </si>
  <si>
    <t>Workstream</t>
  </si>
  <si>
    <t>SHA</t>
  </si>
  <si>
    <t>Muddassar</t>
  </si>
  <si>
    <t>Legal</t>
  </si>
  <si>
    <t>Hassen Moolla</t>
  </si>
  <si>
    <t>Governance</t>
  </si>
  <si>
    <t>Ramesh Murugesan</t>
  </si>
  <si>
    <t>Finance</t>
  </si>
  <si>
    <t>Mawiyah Alqaed</t>
  </si>
  <si>
    <t>IT</t>
  </si>
  <si>
    <t>Procurement</t>
  </si>
  <si>
    <t>HR</t>
  </si>
  <si>
    <t>Faraj Al Dossary</t>
  </si>
  <si>
    <t>HSSE</t>
  </si>
  <si>
    <t>Rene Thumbran</t>
  </si>
  <si>
    <t>Comms</t>
  </si>
  <si>
    <t>Facilities</t>
  </si>
  <si>
    <t>Susan Parker</t>
  </si>
  <si>
    <t>Owen Hatton</t>
  </si>
  <si>
    <t>Maaden and Aramco CEOs</t>
  </si>
  <si>
    <t>Abdullah Alzamil</t>
  </si>
  <si>
    <t>Karim Mehboob</t>
  </si>
  <si>
    <t>Marwan Sutan</t>
  </si>
  <si>
    <t>Ramesh / Alex</t>
  </si>
  <si>
    <t>Aramco</t>
  </si>
  <si>
    <t>Fathima Mahomed</t>
  </si>
  <si>
    <t>Raoof Madathil</t>
  </si>
  <si>
    <t>PROJECT CRYSTAL - JV DAY-1 READINESS PLAN</t>
  </si>
  <si>
    <t>Day-1 target date</t>
  </si>
  <si>
    <t>Category</t>
  </si>
  <si>
    <t>Requirement</t>
  </si>
  <si>
    <t>Action</t>
  </si>
  <si>
    <t>Status</t>
  </si>
  <si>
    <t>Start date</t>
  </si>
  <si>
    <t>Duration</t>
  </si>
  <si>
    <t>End date</t>
  </si>
  <si>
    <t>Target Completion (%)</t>
  </si>
  <si>
    <t>Budget and Business Plan</t>
  </si>
  <si>
    <t>Budget and BP</t>
  </si>
  <si>
    <t>Clarify roles and responsibilities across Maaden finance and technical teams. Define who provides what, sources of information, and internal points of contact for each workstream.</t>
  </si>
  <si>
    <t>Identify the full list of inputs and assumptions required to build the model. Define sources and providers for each item, and set deadlines for delivery.</t>
  </si>
  <si>
    <t>5-Year Exploration Plan</t>
  </si>
  <si>
    <t>Develop 5-year Exploration Plan (2026-2030)</t>
  </si>
  <si>
    <t xml:space="preserve">JV Day-1 Org Chart </t>
  </si>
  <si>
    <t>Finalize the Day-1 organization structure (confirm minimal technical staff requirements, including HSSE)</t>
  </si>
  <si>
    <t>Construct the financial and operational model based on the defined inputs, assumptions, and agreed structure. Ensure formulas are robust and the model is auditable.</t>
  </si>
  <si>
    <t>Not Started</t>
  </si>
  <si>
    <t>Present the draft model and BP outputs to key Maaden stakeholders (technical and finance) for review. Incorporate feedback and resolve any open items.</t>
  </si>
  <si>
    <t>Package BP into Final Deliverable</t>
  </si>
  <si>
    <t>Define format/templates and develop final deliverables</t>
  </si>
  <si>
    <t>BP Final Deliverable validation</t>
  </si>
  <si>
    <t>Validate final deliverables</t>
  </si>
  <si>
    <t>Share the finalized BP with Aramco for review. Collect feedback, incorporate agreed changes, and lock the final version for approval</t>
  </si>
  <si>
    <t>TSA</t>
  </si>
  <si>
    <t>Develop the catalogue of technical services to be provided by Maaden to the JV under the TSA, identify what services are to be provided by 3d parties</t>
  </si>
  <si>
    <t>Define the pricing methodology: establish the approach and basis for pricing each category of services (e.g., cost-plus, market benchmark, fixed fee)</t>
  </si>
  <si>
    <t>Apply the agreed pricing methodology to determine the applicable rates for each service in the catalogue</t>
  </si>
  <si>
    <t>Define TSA governance structure and process: how TSA services are requested, approved, monitored, billed, paid, accounted (TSA management process)</t>
  </si>
  <si>
    <t>Finalize the TSA legal framework:  draft and agree on the legal terms and conditions governing the provision of services, including scope, performance standards, liability, and termination provisions</t>
  </si>
  <si>
    <t>Share the finalized TSA version with Aramco for review. Collect feedback, incorporate agreed changes, and lock the final version for approval.</t>
  </si>
  <si>
    <t>GSA</t>
  </si>
  <si>
    <t>Develop the catalogue of services to be provided by Maaden to the JV under the GSA</t>
  </si>
  <si>
    <t>Define GSA governance structure and process : how GSA services are requested, approved, monitored, billed, paid, accounted (GSA management process)</t>
  </si>
  <si>
    <t>Finalize the GSA legal framework:  draft and agree on the legal terms and conditions governing the provision of services, including scope, performance standards, liability, and termination provisions</t>
  </si>
  <si>
    <t>Share the finalized TSA version with Aramco for review. Collect feedback, incorporate agreed changes, and lock the final version for approval</t>
  </si>
  <si>
    <t>DoA</t>
  </si>
  <si>
    <t>Obtain reference governance framework, obtain Maaden's existing Authority Matrix and Aramco's governance frameworks as benchmarks for the JV</t>
  </si>
  <si>
    <t>Complete Design of DoA (Shedule 15)</t>
  </si>
  <si>
    <t>Share the finalized DoA version with Aramco for review. Collect feedback, incorporate agreed changes, and lock the final version for approval</t>
  </si>
  <si>
    <t xml:space="preserve">Secondment </t>
  </si>
  <si>
    <t>Secondment framework</t>
  </si>
  <si>
    <t>Develop secondment framework agreement (duration, cost basis, reporting lines, benefits)</t>
  </si>
  <si>
    <t>Define cost allocation methodology and determine cost rates for secondees</t>
  </si>
  <si>
    <t>Draft JV secondment agreement</t>
  </si>
  <si>
    <t>Share the finalized Secondment Agreement with Aramco for review. Collect feedback, incorporate agreed changes, and lock the final version for approval</t>
  </si>
  <si>
    <t>SHA documentation</t>
  </si>
  <si>
    <t>Agree Form of Guarantee for Permitted Transfers (Schedule 10)</t>
  </si>
  <si>
    <t>Finalize Form of Shareholder Services Agreement (Schedule 11)</t>
  </si>
  <si>
    <t>Agree economic assumptions for technical studies (Schedule 16) - confirm applicability for Hard-Rock Exploration phase</t>
  </si>
  <si>
    <t>Develop Form of Funding Notices, and standard Funding Request Notice template (Schedule 14)</t>
  </si>
  <si>
    <t>Provide all Area of Interest and Transition Zone maps and coordinates (Schedule 2)</t>
  </si>
  <si>
    <t>Exploration License Assignment Agreeement</t>
  </si>
  <si>
    <t>Finalize Exploration License Assignment Agreeement</t>
  </si>
  <si>
    <t xml:space="preserve">Exploration Services Agreement </t>
  </si>
  <si>
    <t xml:space="preserve">Finalize Exploration Services Agreement </t>
  </si>
  <si>
    <t>Share the final SHA documentation with Aramco for review. Collect feedback, incorporate agreed changes, and lock the final version for approval</t>
  </si>
  <si>
    <t>Corporate approval</t>
  </si>
  <si>
    <t>Maaden IC</t>
  </si>
  <si>
    <t>Prepare material and obtain approval at Maaden Investment Committee meeting</t>
  </si>
  <si>
    <t>Maaden ExCom</t>
  </si>
  <si>
    <t>Prepare material and obtain approval at Maaden Excom meeting (Feb 17)</t>
  </si>
  <si>
    <t>Maaden BoD</t>
  </si>
  <si>
    <t>Prepare material and obtain approval at BoD meeting (Mar 5)</t>
  </si>
  <si>
    <t>Draft 365 Day Implementation Plan</t>
  </si>
  <si>
    <t>Share the finalized Plan with Aramco for review. Collect feedback, incorporate agreed changes, and lock the final version for approval</t>
  </si>
  <si>
    <t>Draft JV Long-term Implementation Plan (key milestones)</t>
  </si>
  <si>
    <t>Board of Directors Aramco</t>
  </si>
  <si>
    <t>Obtain approval at BoD meeting (mid-May)</t>
  </si>
  <si>
    <t>SHA signed by both Shareholders</t>
  </si>
  <si>
    <t>Sign Shareholder Agreement</t>
  </si>
  <si>
    <t>Entity Formation</t>
  </si>
  <si>
    <t>Power of Attorney (PoA)</t>
  </si>
  <si>
    <t>Trade name reservation</t>
  </si>
  <si>
    <t>Submit reservation of Trade name with Saudi Business Center (SBC), and obtain name approval from MOC</t>
  </si>
  <si>
    <t>Constitutional documents</t>
  </si>
  <si>
    <t>Gather constitutional documents and Financial Statements (e.g., certificate of incorporation and articles (or equivalent) and audited financial statements of each Shareholder</t>
  </si>
  <si>
    <t>Corporate Governance Setup</t>
  </si>
  <si>
    <t xml:space="preserve">Initial Board remuneration </t>
  </si>
  <si>
    <t>Board members nomination</t>
  </si>
  <si>
    <t>Both shareholders nominate board members</t>
  </si>
  <si>
    <t>Board members’ and GM information</t>
  </si>
  <si>
    <t>Details of the ultimate beneficiary(ies) for MOC</t>
  </si>
  <si>
    <t>Gather information of the ultimate beneficiaries for Ministry of Commerce</t>
  </si>
  <si>
    <t>Board members/GM appointment consent</t>
  </si>
  <si>
    <t>GAC no-notification application form</t>
  </si>
  <si>
    <t>Prepare GAC no-notification application form to be submitted to the GAC</t>
  </si>
  <si>
    <t>GAC no-notification economic report</t>
  </si>
  <si>
    <t>Submit GAC no-notification economic report</t>
  </si>
  <si>
    <t>GAC approval</t>
  </si>
  <si>
    <t>Apply for and receive all required antitrust approvals (including GAC confirmation of non-applicability)</t>
  </si>
  <si>
    <t>Draft AoA incorporating SHA terms and get shareholders approval</t>
  </si>
  <si>
    <t xml:space="preserve">Submit AoA through SBC Portal (MOC) for MOC approval </t>
  </si>
  <si>
    <t>AoA signing</t>
  </si>
  <si>
    <t xml:space="preserve">AoA issuing </t>
  </si>
  <si>
    <t>Complete payment of the MOC application and publication fees, Deliver Articles of Association issued electronically via the SBC portal</t>
  </si>
  <si>
    <t>Commercial Registration (CR)</t>
  </si>
  <si>
    <t>Obtain CR from Ministry of Commerce</t>
  </si>
  <si>
    <t xml:space="preserve">Post-formation registration </t>
  </si>
  <si>
    <t>Chamber of Commerce registration</t>
  </si>
  <si>
    <t>Register with local Chamber of Commerce</t>
  </si>
  <si>
    <t>ZAKAT, TAX and Customs registration</t>
  </si>
  <si>
    <t>Register with the ZAKAT, Tax and Customs Authority</t>
  </si>
  <si>
    <t>VAT registration</t>
  </si>
  <si>
    <t>Register for VAT with ZATCA</t>
  </si>
  <si>
    <t>GOSI registration</t>
  </si>
  <si>
    <t>Register with General Organization for Social Insurance (GOSI)</t>
  </si>
  <si>
    <t>MHRSD registration</t>
  </si>
  <si>
    <t>Register with Ministry of Human Resources (MHRSD)</t>
  </si>
  <si>
    <t>Saudi Post Registration</t>
  </si>
  <si>
    <t>Registration with the Saudi Post Office</t>
  </si>
  <si>
    <t>Municipality License</t>
  </si>
  <si>
    <t>Obtain a municipality License from Ministry of Municipal and Rural Affairs</t>
  </si>
  <si>
    <t>Nitaqat classification</t>
  </si>
  <si>
    <t>Obtain initial Saudization classification</t>
  </si>
  <si>
    <t>Civil Defence Certificate</t>
  </si>
  <si>
    <t>Obtain a Civil Defence Certificate, as necessary</t>
  </si>
  <si>
    <t>BoD Charter</t>
  </si>
  <si>
    <t>Develop BoD Charter (incl. board composition, committees, authority matrices, voting &amp; veto rights, exec management governance, performance assessment)</t>
  </si>
  <si>
    <t>Board of Directors on-boarding</t>
  </si>
  <si>
    <t>Prepare on-boarding documentation for JV Board of Directors</t>
  </si>
  <si>
    <t>Shareholders Resolution (General Assembly)</t>
  </si>
  <si>
    <t>Inaugural Board meeting</t>
  </si>
  <si>
    <t>Prepare and conduct first Board meeting and approve foundational resolutions (e.g. company accession)</t>
  </si>
  <si>
    <t>Executive management transition plan</t>
  </si>
  <si>
    <t>Develop executive management transition support plan to support smooth handover from setup phase to operational governance</t>
  </si>
  <si>
    <t>Operational readiness</t>
  </si>
  <si>
    <t>Identify policy required for JV to operate and develop Finance Policy Manual</t>
  </si>
  <si>
    <t>Define Finance KPIs &amp; monitor main performance measurement indicators</t>
  </si>
  <si>
    <t>Define standard monthly /quarterly financial report templates (including BoD, shareholders) and align with Aramco CFO</t>
  </si>
  <si>
    <t>Agree on external auditor selection criteria and process, define audit committee role, and confirm audit timeline for Year 1</t>
  </si>
  <si>
    <t>External auditor selection</t>
  </si>
  <si>
    <t>Identify and shortlist external auditors, define scope of audit, present recommendation to Board for approval at inaugural meeting</t>
  </si>
  <si>
    <t>Initial Insurance protection</t>
  </si>
  <si>
    <t>Identify and procure insurance coverage for the JV (D&amp;O liability, general liability, professional indemnity, property/equipment insurance for exploration activities)</t>
  </si>
  <si>
    <t>Corporate bank accounts</t>
  </si>
  <si>
    <t>Open bank accounts</t>
  </si>
  <si>
    <t>Bank signatory authorization</t>
  </si>
  <si>
    <t>Register authorized signatories</t>
  </si>
  <si>
    <t>Cash call schedule Year 1</t>
  </si>
  <si>
    <t>Define quarterly funding schedule</t>
  </si>
  <si>
    <t>Initial capital contribution</t>
  </si>
  <si>
    <t>Initial cash call from shareholders</t>
  </si>
  <si>
    <t>Scoping and requirement documentation</t>
  </si>
  <si>
    <t>Prepare and conduct workshop with Aramco IT to showcase Maaden systems capabilities and agree on IT strategy</t>
  </si>
  <si>
    <t>Implement systems (configuration, training, testing, deployment)</t>
  </si>
  <si>
    <t>Grant relevant system access to end users</t>
  </si>
  <si>
    <t>Chart of Accounts configuration</t>
  </si>
  <si>
    <t>Load CoA in ERP</t>
  </si>
  <si>
    <t xml:space="preserve">Acquire / subscribe to systems needed for JV operations (not available through shareholders) </t>
  </si>
  <si>
    <t>Prepare and run training sessions with JV employees on relevant systems and processes</t>
  </si>
  <si>
    <t>Cybersecurity training</t>
  </si>
  <si>
    <t>Prepare and run cybersecurity training sessions with day-1 staff</t>
  </si>
  <si>
    <t>Register JV email domain (if any) and create email accounts for Day-1 staff</t>
  </si>
  <si>
    <t>Provide laptops and mobile phones for day-1 staff</t>
  </si>
  <si>
    <t>Set up network infrastructure and internet (switches, firewall, routers)</t>
  </si>
  <si>
    <t>Aramco Data migration plan</t>
  </si>
  <si>
    <t>Manage and oversee data migration plan for all relevant data</t>
  </si>
  <si>
    <t>Extend Maaden procurement policies to the JV</t>
  </si>
  <si>
    <t>Determine which positions will be filled by secondees</t>
  </si>
  <si>
    <t>Secondee nomination and mobilization</t>
  </si>
  <si>
    <t xml:space="preserve">Define main JV secondees performance KPIs </t>
  </si>
  <si>
    <t xml:space="preserve">Set up HR processes, policies and systems for JV </t>
  </si>
  <si>
    <t>Define JV's HSE policies, procedures and systems requirements</t>
  </si>
  <si>
    <t>Set up HSE processes, policies and systems for JV (e.g. incident reporting system)</t>
  </si>
  <si>
    <t>Emergency Response Plan</t>
  </si>
  <si>
    <t>Develop emergency response plan</t>
  </si>
  <si>
    <t>Field HSSE plan</t>
  </si>
  <si>
    <t>Develop HSSE plan for exploration activities</t>
  </si>
  <si>
    <t>PPE procurement request</t>
  </si>
  <si>
    <t>Request  personal protective equipment for relevant day-1 staff</t>
  </si>
  <si>
    <t>Stakeholder comms plan</t>
  </si>
  <si>
    <t>Develop external stakeholder communications plan</t>
  </si>
  <si>
    <t>Press release (Day-1)</t>
  </si>
  <si>
    <t>Prepare and publish press-release for launch announcement</t>
  </si>
  <si>
    <t>Government stakeholder briefing</t>
  </si>
  <si>
    <t>Brief key government stakeholders</t>
  </si>
  <si>
    <t>Define permanent HQ location setup plan, and secure physical office space (e.g. sign leasing contract if needed)</t>
  </si>
  <si>
    <t>Critical</t>
  </si>
  <si>
    <t>Yes</t>
  </si>
  <si>
    <t>No</t>
  </si>
  <si>
    <t>Formally register all Aramco directors with MOC</t>
  </si>
  <si>
    <t>GR</t>
  </si>
  <si>
    <t>Formally register all Maaden  directors with MOC</t>
  </si>
  <si>
    <t>Actual Completion (%)</t>
  </si>
  <si>
    <t>Develop a Procurement Plan to cover scope not addressed by existing contracts, based on the outcomes of the Contract Capacity Review.</t>
  </si>
  <si>
    <t>JV Procurement Plan</t>
  </si>
  <si>
    <t>Estimate procurement activity volumes and define resource requirements to support JV demand</t>
  </si>
  <si>
    <t>Assess the capacity of Maaden's existing contracts against the JV's projected demand, based on the JV Technical Work Program</t>
  </si>
  <si>
    <t>Maaden Contracts Capacity Review</t>
  </si>
  <si>
    <t>Procurement Demand Assessment</t>
  </si>
  <si>
    <t>Procurement Policies</t>
  </si>
  <si>
    <t>Budget and BP Inputs &amp; Assumptions</t>
  </si>
  <si>
    <t>Budget &amp; BP Roles &amp; Data Sources</t>
  </si>
  <si>
    <t>Build Draft BP Model</t>
  </si>
  <si>
    <t>Validate BP with Key Maaden Stakeholders</t>
  </si>
  <si>
    <t>Aramco Feedback on BP &amp; Update</t>
  </si>
  <si>
    <t xml:space="preserve">TSA Technical Services Catalogue </t>
  </si>
  <si>
    <t>TSA Charge-out Rate Methodology</t>
  </si>
  <si>
    <t>TSA Charge-out Rates Determination</t>
  </si>
  <si>
    <t>TSA Governance structure</t>
  </si>
  <si>
    <t>TSA Legal framework</t>
  </si>
  <si>
    <t>GSA Catalogue of services</t>
  </si>
  <si>
    <t>GSA Charge-out Rate Methodology</t>
  </si>
  <si>
    <t>GSA Charge-out Rates Determination</t>
  </si>
  <si>
    <t>GSA Governance structure</t>
  </si>
  <si>
    <t>GSA Legal framework</t>
  </si>
  <si>
    <t>Aramco Feedback on GSA &amp; Update</t>
  </si>
  <si>
    <t>Aramco Feedback on TSA &amp; Update</t>
  </si>
  <si>
    <t xml:space="preserve">Shareholders DoAs reference </t>
  </si>
  <si>
    <t>Aramco Feedback on DoA &amp; Update</t>
  </si>
  <si>
    <t>Secondment Agreement Allocation Methodology</t>
  </si>
  <si>
    <t>JV Secondment Agreement draft</t>
  </si>
  <si>
    <t>Aramco Feedback on Secondment Agreement &amp; Update</t>
  </si>
  <si>
    <t>365-Day Implementation Plan Draft</t>
  </si>
  <si>
    <t>365-Day Implementation Plan (Final)</t>
  </si>
  <si>
    <t>5-year Implementation Plan Draft</t>
  </si>
  <si>
    <t>5-year Implementation Plan (Final)</t>
  </si>
  <si>
    <t>Board appointment Shareholders resolutions</t>
  </si>
  <si>
    <t>AoA drafting</t>
  </si>
  <si>
    <t>AoA approval</t>
  </si>
  <si>
    <t>Maaden Board Members Registration with MOC</t>
  </si>
  <si>
    <t>Aramco Board Members Registration with MOC</t>
  </si>
  <si>
    <t>Financial reporting templates</t>
  </si>
  <si>
    <t>Auditing principles</t>
  </si>
  <si>
    <t>IT Systems requirements</t>
  </si>
  <si>
    <t>IT Work scope</t>
  </si>
  <si>
    <t xml:space="preserve">Shareholders' IT Alignment </t>
  </si>
  <si>
    <t>IT systems Implementation</t>
  </si>
  <si>
    <t>IT Access Rights Assigned to JV Users</t>
  </si>
  <si>
    <t>JV New IT Systems Subscriptions &amp; Licences</t>
  </si>
  <si>
    <t>IT Systems training</t>
  </si>
  <si>
    <t>JV Email &amp; Account Setup</t>
  </si>
  <si>
    <t xml:space="preserve">Laptops/computers </t>
  </si>
  <si>
    <t>HSSE Policy &amp; Process Framework</t>
  </si>
  <si>
    <t>JV Office Setup</t>
  </si>
  <si>
    <t>HSSE Policy &amp; Process Setup</t>
  </si>
  <si>
    <t>SHA Sch.10 Guarantee for Permitted Transfers</t>
  </si>
  <si>
    <t xml:space="preserve">SHA Sch.11 Form of the Agreement </t>
  </si>
  <si>
    <t>SHA Sch.16 Economical assumptions</t>
  </si>
  <si>
    <t>SHA Sch.13 Competing business disclosure</t>
  </si>
  <si>
    <t>SHA Sch.14 Funding Notices</t>
  </si>
  <si>
    <t>SHA Sch.2 Area of Interest and Transition Zone</t>
  </si>
  <si>
    <t>Aramco Feedback on SHA pack &amp; Update</t>
  </si>
  <si>
    <t xml:space="preserve">JV Financial KPIs </t>
  </si>
  <si>
    <t>Financial Policy Manual</t>
  </si>
  <si>
    <t>Abdulrahman Abdullah Al-zahrani</t>
  </si>
  <si>
    <t>Raud Alsuwailem</t>
  </si>
  <si>
    <t>Governance Dept</t>
  </si>
  <si>
    <t>AshLaw</t>
  </si>
  <si>
    <t>Secondees performance KPIs definition</t>
  </si>
  <si>
    <t>Network infrastructure setup</t>
  </si>
  <si>
    <t>Determine secondees positions</t>
  </si>
  <si>
    <t>Muddassar/Mohammed</t>
  </si>
  <si>
    <t>Omar Jabart</t>
  </si>
  <si>
    <t xml:space="preserve">Muddassar/Nuaim/Aseel Alnafea </t>
  </si>
  <si>
    <t>Aseel Alnafea</t>
  </si>
  <si>
    <r>
      <t xml:space="preserve">Define initial remuneration for Board Memebrs </t>
    </r>
    <r>
      <rPr>
        <i/>
        <sz val="11"/>
        <color theme="1"/>
        <rFont val="Calibri"/>
        <family val="2"/>
        <scheme val="minor"/>
      </rPr>
      <t>(action also required for Aramco)</t>
    </r>
  </si>
  <si>
    <r>
      <t xml:space="preserve">Gather - from each board member and GM - a copy of passport/ID and contact information for MoC </t>
    </r>
    <r>
      <rPr>
        <i/>
        <sz val="11"/>
        <color theme="1"/>
        <rFont val="Calibri"/>
        <family val="2"/>
        <scheme val="minor"/>
      </rPr>
      <t>(action also required for Aramco)</t>
    </r>
  </si>
  <si>
    <r>
      <t xml:space="preserve">Board members and GM to approve their appointment - completed via Absher digital system </t>
    </r>
    <r>
      <rPr>
        <i/>
        <sz val="11"/>
        <color theme="1"/>
        <rFont val="Calibri"/>
        <family val="2"/>
        <scheme val="minor"/>
      </rPr>
      <t>(action also required for Aramco)</t>
    </r>
  </si>
  <si>
    <r>
      <t xml:space="preserve">Each Shareholder formally approves the appointment of their nominated Directors </t>
    </r>
    <r>
      <rPr>
        <i/>
        <sz val="11"/>
        <color theme="1"/>
        <rFont val="Calibri"/>
        <family val="2"/>
        <scheme val="minor"/>
      </rPr>
      <t>(action also required for Aramco)</t>
    </r>
  </si>
  <si>
    <r>
      <t xml:space="preserve">Shareholders undertake all resolutions (by unanimous written circular resolution or General Assembly) required to give effect to SHA terms </t>
    </r>
    <r>
      <rPr>
        <i/>
        <sz val="11"/>
        <color theme="1"/>
        <rFont val="Calibri"/>
        <family val="2"/>
        <scheme val="minor"/>
      </rPr>
      <t>(action also required for Aramco)</t>
    </r>
  </si>
  <si>
    <r>
      <t xml:space="preserve">Complete existing competing businesses disclosure (Schedule 13) </t>
    </r>
    <r>
      <rPr>
        <i/>
        <sz val="11"/>
        <color theme="1"/>
        <rFont val="Calibri"/>
        <family val="2"/>
        <scheme val="minor"/>
      </rPr>
      <t>(action also required for aramco)</t>
    </r>
  </si>
  <si>
    <r>
      <t xml:space="preserve">Sign AoA before MOC/SBC official (via SBC portal) </t>
    </r>
    <r>
      <rPr>
        <i/>
        <sz val="11"/>
        <color theme="1"/>
        <rFont val="Calibri"/>
        <family val="2"/>
        <scheme val="minor"/>
      </rPr>
      <t>(with participation of Aramco)</t>
    </r>
  </si>
  <si>
    <r>
      <t xml:space="preserve">Issue legalized power of attorney authorizing Kingdom representatives before MOC and SBC </t>
    </r>
    <r>
      <rPr>
        <i/>
        <sz val="11"/>
        <color theme="1"/>
        <rFont val="Calibri"/>
        <family val="2"/>
        <scheme val="minor"/>
      </rPr>
      <t>(action also required for Aramco)</t>
    </r>
  </si>
  <si>
    <t>REQUIREMENTS BY CATEGORY</t>
  </si>
  <si>
    <t>Mohammed Al-Hamed</t>
  </si>
  <si>
    <t>Governance dept</t>
  </si>
  <si>
    <t>Muddassar Khan</t>
  </si>
  <si>
    <t>Design the multi-tiered financial approval matrix (incl governance and internal controls) : define approval tiers below Board thresholds across CAPEX, OPEX, contracts, procurement, HR, litigation, treasury, and asset management, aligned with SHA</t>
  </si>
  <si>
    <t>Obtain nomination from JV GM and mobilize secondees</t>
  </si>
  <si>
    <t xml:space="preserve">Identify all systems needed for JV </t>
  </si>
  <si>
    <t>HR Policies &amp; Processes Framework and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</si>
</sst>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DIN Next LT Arabic"/>
      <family val="2"/>
    </font>
    <font>
      <b/>
      <sz val="14"/>
      <name val="DIN Next LT Arabic"/>
      <family val="2"/>
    </font>
    <font>
      <b/>
      <sz val="11"/>
      <color theme="0"/>
      <name val="DIN Next LT Arabic"/>
      <family val="2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DIN Next LT Arabic"/>
      <family val="2"/>
    </font>
    <font>
      <b/>
      <sz val="18"/>
      <color theme="1"/>
      <name val="DIN Next LT Arabic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DIN Next LT Arabic"/>
      <family val="2"/>
    </font>
    <font>
      <i/>
      <sz val="11"/>
      <color theme="5"/>
      <name val="DIN Next LT Arabic"/>
      <family val="2"/>
    </font>
    <font>
      <b/>
      <sz val="11"/>
      <color theme="1"/>
      <name val="DIN Next LT Arabic"/>
      <family val="2"/>
    </font>
    <font>
      <sz val="11"/>
      <color theme="6" tint="-0.499984740745262"/>
      <name val="DIN Next LT Arabic"/>
      <family val="2"/>
    </font>
    <font>
      <sz val="11"/>
      <color theme="3"/>
      <name val="DIN Next LT Arabic"/>
      <family val="2"/>
    </font>
    <font>
      <sz val="11"/>
      <color theme="5" tint="-0.499984740745262"/>
      <name val="DIN Next LT Arabic"/>
      <family val="2"/>
    </font>
    <font>
      <sz val="11"/>
      <color theme="0"/>
      <name val="DIN Next LT Arabic"/>
      <family val="2"/>
    </font>
    <font>
      <sz val="11"/>
      <color theme="1"/>
      <name val="DIN Next LT Arabic"/>
    </font>
    <font>
      <b/>
      <sz val="11"/>
      <color theme="1"/>
      <name val="DIN Next LT Arabic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rgb="FF1F4E7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0" fillId="3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vertical="top"/>
    </xf>
    <xf numFmtId="17" fontId="7" fillId="0" borderId="0" xfId="0" applyNumberFormat="1" applyFont="1" applyAlignment="1">
      <alignment horizontal="left"/>
    </xf>
    <xf numFmtId="9" fontId="0" fillId="0" borderId="0" xfId="0" applyNumberFormat="1"/>
    <xf numFmtId="0" fontId="9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1" fontId="0" fillId="0" borderId="0" xfId="0" applyNumberFormat="1" applyAlignment="1">
      <alignment horizontal="center"/>
    </xf>
    <xf numFmtId="0" fontId="0" fillId="5" borderId="1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16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" fontId="0" fillId="6" borderId="2" xfId="0" applyNumberFormat="1" applyFill="1" applyBorder="1" applyAlignment="1">
      <alignment horizontal="center" vertical="center"/>
    </xf>
    <xf numFmtId="16" fontId="0" fillId="6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6" borderId="3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" fontId="0" fillId="5" borderId="2" xfId="0" applyNumberFormat="1" applyFill="1" applyBorder="1" applyAlignment="1">
      <alignment horizontal="center" vertical="center"/>
    </xf>
    <xf numFmtId="16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16" fontId="0" fillId="2" borderId="1" xfId="0" applyNumberFormat="1" applyFill="1" applyBorder="1" applyAlignment="1">
      <alignment horizontal="center" vertical="center"/>
    </xf>
    <xf numFmtId="0" fontId="13" fillId="0" borderId="0" xfId="0" applyFont="1" applyAlignment="1">
      <alignment horizontal="right"/>
    </xf>
    <xf numFmtId="16" fontId="14" fillId="0" borderId="0" xfId="0" applyNumberFormat="1" applyFont="1" applyAlignment="1">
      <alignment horizontal="left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4" borderId="5" xfId="0" applyFont="1" applyFill="1" applyBorder="1" applyAlignment="1">
      <alignment vertical="center"/>
    </xf>
    <xf numFmtId="0" fontId="10" fillId="4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horizontal="center" vertical="center" wrapText="1"/>
    </xf>
    <xf numFmtId="16" fontId="10" fillId="4" borderId="5" xfId="0" applyNumberFormat="1" applyFont="1" applyFill="1" applyBorder="1" applyAlignment="1">
      <alignment horizontal="center" vertical="center"/>
    </xf>
    <xf numFmtId="1" fontId="10" fillId="4" borderId="5" xfId="0" applyNumberFormat="1" applyFont="1" applyFill="1" applyBorder="1" applyAlignment="1">
      <alignment horizontal="center" vertical="center"/>
    </xf>
    <xf numFmtId="9" fontId="10" fillId="4" borderId="5" xfId="1" applyFont="1" applyFill="1" applyBorder="1" applyAlignment="1">
      <alignment horizontal="center" vertical="center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16" fontId="10" fillId="4" borderId="0" xfId="0" applyNumberFormat="1" applyFont="1" applyFill="1" applyAlignment="1">
      <alignment horizontal="center" vertical="center"/>
    </xf>
    <xf numFmtId="1" fontId="10" fillId="4" borderId="0" xfId="0" applyNumberFormat="1" applyFont="1" applyFill="1" applyAlignment="1">
      <alignment horizontal="center" vertical="center"/>
    </xf>
    <xf numFmtId="9" fontId="10" fillId="4" borderId="0" xfId="1" applyFont="1" applyFill="1" applyBorder="1" applyAlignment="1">
      <alignment horizontal="center" vertical="center"/>
    </xf>
    <xf numFmtId="9" fontId="10" fillId="4" borderId="2" xfId="1" applyFont="1" applyFill="1" applyBorder="1" applyAlignment="1">
      <alignment horizontal="center" vertical="center"/>
    </xf>
    <xf numFmtId="9" fontId="10" fillId="4" borderId="1" xfId="1" applyFont="1" applyFill="1" applyBorder="1" applyAlignment="1">
      <alignment horizontal="center" vertical="center"/>
    </xf>
    <xf numFmtId="9" fontId="10" fillId="4" borderId="3" xfId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/>
    </xf>
    <xf numFmtId="0" fontId="16" fillId="8" borderId="6" xfId="0" applyFont="1" applyFill="1" applyBorder="1" applyAlignment="1">
      <alignment horizontal="center"/>
    </xf>
    <xf numFmtId="0" fontId="17" fillId="9" borderId="6" xfId="0" applyFont="1" applyFill="1" applyBorder="1" applyAlignment="1">
      <alignment horizontal="center"/>
    </xf>
    <xf numFmtId="0" fontId="18" fillId="11" borderId="6" xfId="0" applyFont="1" applyFill="1" applyBorder="1" applyAlignment="1">
      <alignment horizontal="center"/>
    </xf>
    <xf numFmtId="0" fontId="15" fillId="13" borderId="6" xfId="0" applyFont="1" applyFill="1" applyBorder="1" applyAlignment="1">
      <alignment vertical="center"/>
    </xf>
    <xf numFmtId="0" fontId="4" fillId="12" borderId="7" xfId="0" applyFont="1" applyFill="1" applyBorder="1"/>
    <xf numFmtId="0" fontId="4" fillId="12" borderId="8" xfId="0" applyFont="1" applyFill="1" applyBorder="1" applyAlignment="1">
      <alignment horizontal="center"/>
    </xf>
    <xf numFmtId="0" fontId="15" fillId="10" borderId="6" xfId="0" applyFont="1" applyFill="1" applyBorder="1"/>
    <xf numFmtId="0" fontId="15" fillId="10" borderId="6" xfId="0" applyFont="1" applyFill="1" applyBorder="1" applyAlignment="1">
      <alignment horizontal="center"/>
    </xf>
    <xf numFmtId="0" fontId="19" fillId="12" borderId="8" xfId="0" applyFont="1" applyFill="1" applyBorder="1" applyAlignment="1">
      <alignment horizontal="center"/>
    </xf>
    <xf numFmtId="0" fontId="15" fillId="1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9" fontId="5" fillId="6" borderId="2" xfId="1" applyFont="1" applyFill="1" applyBorder="1" applyAlignment="1">
      <alignment horizontal="center" vertical="center"/>
    </xf>
    <xf numFmtId="9" fontId="5" fillId="6" borderId="1" xfId="1" applyFont="1" applyFill="1" applyBorder="1" applyAlignment="1">
      <alignment horizontal="center" vertical="center"/>
    </xf>
    <xf numFmtId="9" fontId="5" fillId="4" borderId="5" xfId="1" applyFont="1" applyFill="1" applyBorder="1" applyAlignment="1">
      <alignment horizontal="center" vertical="center"/>
    </xf>
    <xf numFmtId="9" fontId="5" fillId="4" borderId="0" xfId="1" applyFont="1" applyFill="1" applyBorder="1" applyAlignment="1">
      <alignment horizontal="center" vertical="center"/>
    </xf>
    <xf numFmtId="0" fontId="21" fillId="13" borderId="6" xfId="0" applyFont="1" applyFill="1" applyBorder="1" applyAlignment="1">
      <alignment vertical="center"/>
    </xf>
    <xf numFmtId="0" fontId="20" fillId="0" borderId="6" xfId="0" applyFont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3" xfId="0" applyFill="1" applyBorder="1" applyAlignment="1">
      <alignment vertical="center"/>
    </xf>
  </cellXfs>
  <cellStyles count="2">
    <cellStyle name="Normal" xfId="0" builtinId="0"/>
    <cellStyle name="Percent" xfId="1" builtinId="5"/>
  </cellStyles>
  <dxfs count="3">
    <dxf>
      <font>
        <color theme="3"/>
      </font>
      <fill>
        <patternFill>
          <bgColor theme="4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852218</xdr:colOff>
      <xdr:row>3</xdr:row>
      <xdr:rowOff>3318</xdr:rowOff>
    </xdr:from>
    <xdr:to>
      <xdr:col>3</xdr:col>
      <xdr:colOff>2889282</xdr:colOff>
      <xdr:row>4</xdr:row>
      <xdr:rowOff>335412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CEF514-254A-4EF1-83D6-8C53B3106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8322" y="696218"/>
          <a:ext cx="4174830" cy="797813"/>
        </a:xfrm>
        <a:prstGeom prst="rect">
          <a:avLst/>
        </a:prstGeom>
      </xdr:spPr>
    </xdr:pic>
    <xdr:clientData/>
  </xdr:twoCellAnchor>
  <xdr:twoCellAnchor>
    <xdr:from>
      <xdr:col>0</xdr:col>
      <xdr:colOff>452904</xdr:colOff>
      <xdr:row>1</xdr:row>
      <xdr:rowOff>97273</xdr:rowOff>
    </xdr:from>
    <xdr:to>
      <xdr:col>11</xdr:col>
      <xdr:colOff>182096</xdr:colOff>
      <xdr:row>11</xdr:row>
      <xdr:rowOff>78597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975B7DA-9639-466E-954E-D53EAA1F51F5}"/>
            </a:ext>
          </a:extLst>
        </xdr:cNvPr>
        <xdr:cNvSpPr/>
      </xdr:nvSpPr>
      <xdr:spPr>
        <a:xfrm>
          <a:off x="452904" y="282481"/>
          <a:ext cx="11794192" cy="249486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144347</xdr:colOff>
      <xdr:row>2</xdr:row>
      <xdr:rowOff>188411</xdr:rowOff>
    </xdr:from>
    <xdr:to>
      <xdr:col>10</xdr:col>
      <xdr:colOff>468138</xdr:colOff>
      <xdr:row>5</xdr:row>
      <xdr:rowOff>71860</xdr:rowOff>
    </xdr:to>
    <xdr:pic>
      <xdr:nvPicPr>
        <xdr:cNvPr id="5" name="Picture 4" descr="CVA - Corporate Value Associates">
          <a:extLst>
            <a:ext uri="{FF2B5EF4-FFF2-40B4-BE49-F238E27FC236}">
              <a16:creationId xmlns:a16="http://schemas.microsoft.com/office/drawing/2014/main" id="{9BDB1509-20F3-7413-DCF5-9ED0982A3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4588" y="574617"/>
          <a:ext cx="2232105" cy="1042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8893CDC6-F770-49E2-8532-7686A505E8D8}"/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B5CB4-78B9-44DF-96AC-C42691EEB60C}">
  <dimension ref="B3:P30"/>
  <sheetViews>
    <sheetView showGridLines="0" zoomScale="70" zoomScaleNormal="70" workbookViewId="0">
      <selection activeCell="D21" sqref="D21"/>
    </sheetView>
  </sheetViews>
  <sheetFormatPr defaultRowHeight="15.05" x14ac:dyDescent="0.3"/>
  <cols>
    <col min="2" max="2" width="5.77734375" customWidth="1"/>
    <col min="3" max="3" width="17.77734375" bestFit="1" customWidth="1"/>
    <col min="4" max="4" width="112.21875" customWidth="1"/>
  </cols>
  <sheetData>
    <row r="3" spans="2:12" ht="23.8" x14ac:dyDescent="0.45"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ht="36.65" customHeight="1" x14ac:dyDescent="0.45"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2:12" ht="30.4" customHeight="1" x14ac:dyDescent="0.45"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2:12" ht="40.1" x14ac:dyDescent="1.2">
      <c r="B6" s="6"/>
      <c r="C6" s="7"/>
      <c r="D6" s="7"/>
      <c r="E6" s="6"/>
      <c r="F6" s="6"/>
      <c r="G6" s="6"/>
      <c r="H6" s="6"/>
      <c r="I6" s="6"/>
      <c r="J6" s="6"/>
      <c r="K6" s="6"/>
      <c r="L6" s="6"/>
    </row>
    <row r="7" spans="2:12" ht="40.700000000000003" x14ac:dyDescent="1.25">
      <c r="B7" s="6"/>
      <c r="C7" s="8" t="s">
        <v>0</v>
      </c>
      <c r="D7" s="7" t="s">
        <v>1</v>
      </c>
      <c r="E7" s="6"/>
      <c r="F7" s="6"/>
      <c r="G7" s="6"/>
      <c r="H7" s="6"/>
      <c r="I7" s="6"/>
      <c r="J7" s="6"/>
      <c r="K7" s="6"/>
      <c r="L7" s="6"/>
    </row>
    <row r="8" spans="2:12" ht="40.1" x14ac:dyDescent="1.2">
      <c r="B8" s="6"/>
      <c r="C8" s="7"/>
      <c r="D8" s="7"/>
      <c r="E8" s="6"/>
      <c r="F8" s="6"/>
      <c r="G8" s="6"/>
      <c r="H8" s="6"/>
      <c r="I8" s="6"/>
      <c r="J8" s="6"/>
      <c r="K8" s="6"/>
      <c r="L8" s="6"/>
    </row>
    <row r="9" spans="2:12" ht="40.700000000000003" x14ac:dyDescent="1.2">
      <c r="B9" s="6"/>
      <c r="C9" s="9" t="s">
        <v>2</v>
      </c>
      <c r="D9" s="7" t="s">
        <v>3</v>
      </c>
      <c r="E9" s="6"/>
      <c r="F9" s="6"/>
      <c r="G9" s="6"/>
      <c r="H9" s="6"/>
      <c r="I9" s="6"/>
      <c r="J9" s="6"/>
      <c r="K9" s="6"/>
      <c r="L9" s="6"/>
    </row>
    <row r="10" spans="2:12" ht="40.1" x14ac:dyDescent="1.2">
      <c r="B10" s="6"/>
      <c r="C10" s="7"/>
      <c r="D10" s="7"/>
      <c r="E10" s="6"/>
      <c r="F10" s="6"/>
      <c r="G10" s="6"/>
      <c r="H10" s="6"/>
      <c r="I10" s="6"/>
      <c r="J10" s="6"/>
      <c r="K10" s="6"/>
      <c r="L10" s="6"/>
    </row>
    <row r="11" spans="2:12" ht="40.700000000000003" x14ac:dyDescent="1.25">
      <c r="B11" s="6"/>
      <c r="C11" s="8" t="s">
        <v>4</v>
      </c>
      <c r="D11" s="10">
        <f ca="1">TODAY()</f>
        <v>46083</v>
      </c>
      <c r="E11" s="6"/>
      <c r="F11" s="6"/>
      <c r="G11" s="6"/>
      <c r="H11" s="6"/>
      <c r="I11" s="6"/>
      <c r="J11" s="6"/>
      <c r="K11" s="6"/>
      <c r="L11" s="6"/>
    </row>
    <row r="12" spans="2:12" ht="23.8" x14ac:dyDescent="0.4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30" spans="16:16" x14ac:dyDescent="0.3">
      <c r="P30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1C23D-AA61-44B6-B1D4-141588E7DA10}">
  <dimension ref="B2:N37"/>
  <sheetViews>
    <sheetView showGridLines="0" zoomScale="80" zoomScaleNormal="80" workbookViewId="0">
      <selection activeCell="H9" sqref="H9"/>
    </sheetView>
  </sheetViews>
  <sheetFormatPr defaultRowHeight="15.05" x14ac:dyDescent="0.3"/>
  <cols>
    <col min="1" max="1" width="3" customWidth="1"/>
    <col min="2" max="2" width="32.21875" customWidth="1"/>
    <col min="3" max="7" width="10.77734375" customWidth="1"/>
    <col min="8" max="8" width="9.77734375" customWidth="1"/>
    <col min="9" max="9" width="29.33203125" customWidth="1"/>
    <col min="10" max="13" width="10.77734375" style="4" customWidth="1"/>
    <col min="14" max="14" width="10.77734375" customWidth="1"/>
  </cols>
  <sheetData>
    <row r="2" spans="2:14" ht="26.3" x14ac:dyDescent="0.85">
      <c r="B2" s="77" t="s">
        <v>5</v>
      </c>
      <c r="C2" s="78">
        <f>SUM(C4:C28)</f>
        <v>117</v>
      </c>
      <c r="D2" s="81">
        <f>SUM(D4:D28)</f>
        <v>4</v>
      </c>
      <c r="E2" s="81">
        <f>SUM(E4:E28)</f>
        <v>89</v>
      </c>
      <c r="F2" s="81">
        <f>SUM(F4:F28)</f>
        <v>24</v>
      </c>
      <c r="G2" s="81">
        <f>SUM(G4:G28)</f>
        <v>0</v>
      </c>
      <c r="I2" s="77" t="s">
        <v>306</v>
      </c>
      <c r="J2" s="78">
        <f>SUM(J4:J20)</f>
        <v>119</v>
      </c>
      <c r="K2" s="81">
        <f>SUM(K4:K20)</f>
        <v>4</v>
      </c>
      <c r="L2" s="81">
        <f>SUM(L4:L20)</f>
        <v>91</v>
      </c>
      <c r="M2" s="81">
        <f t="shared" ref="M2:N2" si="0">SUM(M4:M20)</f>
        <v>24</v>
      </c>
      <c r="N2" s="81">
        <f t="shared" si="0"/>
        <v>0</v>
      </c>
    </row>
    <row r="3" spans="2:14" ht="26.3" x14ac:dyDescent="0.85">
      <c r="B3" s="79" t="s">
        <v>6</v>
      </c>
      <c r="C3" s="80" t="s">
        <v>7</v>
      </c>
      <c r="D3" s="74" t="s">
        <v>10</v>
      </c>
      <c r="E3" s="72" t="s">
        <v>8</v>
      </c>
      <c r="F3" s="73" t="s">
        <v>9</v>
      </c>
      <c r="G3" s="75" t="s">
        <v>11</v>
      </c>
      <c r="I3" s="79" t="s">
        <v>12</v>
      </c>
      <c r="J3" s="80" t="s">
        <v>7</v>
      </c>
      <c r="K3" s="74" t="s">
        <v>10</v>
      </c>
      <c r="L3" s="72" t="s">
        <v>8</v>
      </c>
      <c r="M3" s="73" t="s">
        <v>9</v>
      </c>
      <c r="N3" s="75" t="s">
        <v>11</v>
      </c>
    </row>
    <row r="4" spans="2:14" s="46" customFormat="1" ht="20.85" customHeight="1" x14ac:dyDescent="0.3">
      <c r="B4" s="76" t="s">
        <v>16</v>
      </c>
      <c r="C4" s="82">
        <f>SUM(D4:G4)</f>
        <v>16</v>
      </c>
      <c r="D4" s="83">
        <f>(COUNTIFS('JV Readiness Plan'!$E:$E,$B4,'JV Readiness Plan'!$F:$F,D$3))</f>
        <v>1</v>
      </c>
      <c r="E4" s="83">
        <f>(COUNTIFS('JV Readiness Plan'!$E:$E,$B4,'JV Readiness Plan'!$F:$F,E$3))</f>
        <v>9</v>
      </c>
      <c r="F4" s="83">
        <f>(COUNTIFS('JV Readiness Plan'!$E:$E,$B4,'JV Readiness Plan'!$F:$F,F$3))</f>
        <v>6</v>
      </c>
      <c r="G4" s="83">
        <f>(COUNTIFS('JV Readiness Plan'!$E:$E,$B4,'JV Readiness Plan'!$F:$F,G$3))</f>
        <v>0</v>
      </c>
      <c r="I4" s="76" t="s">
        <v>50</v>
      </c>
      <c r="J4" s="82">
        <f>SUM(K4:N4)</f>
        <v>9</v>
      </c>
      <c r="K4" s="83">
        <f>(COUNTIFS('JV Readiness Plan'!$B:$B,$I4,'JV Readiness Plan'!$F:$F,K$3))</f>
        <v>1</v>
      </c>
      <c r="L4" s="83">
        <f>(COUNTIFS('JV Readiness Plan'!$B:$B,$I4,'JV Readiness Plan'!$F:$F,L$3))</f>
        <v>4</v>
      </c>
      <c r="M4" s="83">
        <f>(COUNTIFS('JV Readiness Plan'!$B:$B,$I4,'JV Readiness Plan'!$F:$F,M$3))</f>
        <v>4</v>
      </c>
      <c r="N4" s="83">
        <f>(COUNTIFS('JV Readiness Plan'!$B:$B,$I4,'JV Readiness Plan'!$F:$F,N$3))</f>
        <v>0</v>
      </c>
    </row>
    <row r="5" spans="2:14" s="46" customFormat="1" ht="20.85" customHeight="1" x14ac:dyDescent="0.3">
      <c r="B5" s="89" t="s">
        <v>309</v>
      </c>
      <c r="C5" s="82">
        <f t="shared" ref="C5:C28" si="1">SUM(D5:G5)</f>
        <v>14</v>
      </c>
      <c r="D5" s="90">
        <f>(COUNTIFS('JV Readiness Plan'!$E:$E,$B5,'JV Readiness Plan'!$F:$F,D$3))</f>
        <v>2</v>
      </c>
      <c r="E5" s="90">
        <f>(COUNTIFS('JV Readiness Plan'!$E:$E,$B5,'JV Readiness Plan'!$F:$F,E$3))</f>
        <v>5</v>
      </c>
      <c r="F5" s="90">
        <f>(COUNTIFS('JV Readiness Plan'!$E:$E,$B5,'JV Readiness Plan'!$F:$F,F$3))</f>
        <v>7</v>
      </c>
      <c r="G5" s="90">
        <f>(COUNTIFS('JV Readiness Plan'!$E:$E,$B5,'JV Readiness Plan'!$F:$F,G$3))</f>
        <v>0</v>
      </c>
      <c r="I5" s="76" t="s">
        <v>65</v>
      </c>
      <c r="J5" s="82">
        <f t="shared" ref="J5:J20" si="2">SUM(K5:N5)</f>
        <v>6</v>
      </c>
      <c r="K5" s="83">
        <f>(COUNTIFS('JV Readiness Plan'!$B:$B,$I5,'JV Readiness Plan'!$F:$F,K$3))</f>
        <v>1</v>
      </c>
      <c r="L5" s="83">
        <f>(COUNTIFS('JV Readiness Plan'!$B:$B,$I5,'JV Readiness Plan'!$F:$F,L$3))</f>
        <v>4</v>
      </c>
      <c r="M5" s="83">
        <f>(COUNTIFS('JV Readiness Plan'!$B:$B,$I5,'JV Readiness Plan'!$F:$F,M$3))</f>
        <v>1</v>
      </c>
      <c r="N5" s="83">
        <f>(COUNTIFS('JV Readiness Plan'!$B:$B,$I5,'JV Readiness Plan'!$F:$F,N$3))</f>
        <v>0</v>
      </c>
    </row>
    <row r="6" spans="2:14" s="46" customFormat="1" ht="20.85" customHeight="1" x14ac:dyDescent="0.3">
      <c r="B6" s="76" t="s">
        <v>18</v>
      </c>
      <c r="C6" s="82">
        <f t="shared" si="1"/>
        <v>13</v>
      </c>
      <c r="D6" s="83">
        <f>(COUNTIFS('JV Readiness Plan'!$E:$E,$B6,'JV Readiness Plan'!$F:$F,D$3))</f>
        <v>0</v>
      </c>
      <c r="E6" s="83">
        <f>(COUNTIFS('JV Readiness Plan'!$E:$E,$B6,'JV Readiness Plan'!$F:$F,E$3))</f>
        <v>12</v>
      </c>
      <c r="F6" s="83">
        <f>(COUNTIFS('JV Readiness Plan'!$E:$E,$B6,'JV Readiness Plan'!$F:$F,F$3))</f>
        <v>1</v>
      </c>
      <c r="G6" s="83">
        <f>(COUNTIFS('JV Readiness Plan'!$E:$E,$B6,'JV Readiness Plan'!$F:$F,G$3))</f>
        <v>0</v>
      </c>
      <c r="I6" s="76" t="s">
        <v>72</v>
      </c>
      <c r="J6" s="82">
        <f t="shared" si="2"/>
        <v>6</v>
      </c>
      <c r="K6" s="83">
        <f>(COUNTIFS('JV Readiness Plan'!$B:$B,$I6,'JV Readiness Plan'!$F:$F,K$3))</f>
        <v>0</v>
      </c>
      <c r="L6" s="83">
        <f>(COUNTIFS('JV Readiness Plan'!$B:$B,$I6,'JV Readiness Plan'!$F:$F,L$3))</f>
        <v>4</v>
      </c>
      <c r="M6" s="83">
        <f>(COUNTIFS('JV Readiness Plan'!$B:$B,$I6,'JV Readiness Plan'!$F:$F,M$3))</f>
        <v>2</v>
      </c>
      <c r="N6" s="83">
        <f>(COUNTIFS('JV Readiness Plan'!$B:$B,$I6,'JV Readiness Plan'!$F:$F,N$3))</f>
        <v>0</v>
      </c>
    </row>
    <row r="7" spans="2:14" s="46" customFormat="1" ht="20.85" customHeight="1" x14ac:dyDescent="0.3">
      <c r="B7" s="76" t="s">
        <v>20</v>
      </c>
      <c r="C7" s="82">
        <f t="shared" si="1"/>
        <v>11</v>
      </c>
      <c r="D7" s="83">
        <f>(COUNTIFS('JV Readiness Plan'!$E:$E,$B7,'JV Readiness Plan'!$F:$F,D$3))</f>
        <v>0</v>
      </c>
      <c r="E7" s="83">
        <f>(COUNTIFS('JV Readiness Plan'!$E:$E,$B7,'JV Readiness Plan'!$F:$F,E$3))</f>
        <v>9</v>
      </c>
      <c r="F7" s="83">
        <f>(COUNTIFS('JV Readiness Plan'!$E:$E,$B7,'JV Readiness Plan'!$F:$F,F$3))</f>
        <v>2</v>
      </c>
      <c r="G7" s="83">
        <f>(COUNTIFS('JV Readiness Plan'!$E:$E,$B7,'JV Readiness Plan'!$F:$F,G$3))</f>
        <v>0</v>
      </c>
      <c r="I7" s="76" t="s">
        <v>77</v>
      </c>
      <c r="J7" s="82">
        <f t="shared" si="2"/>
        <v>3</v>
      </c>
      <c r="K7" s="83">
        <f>(COUNTIFS('JV Readiness Plan'!$B:$B,$I7,'JV Readiness Plan'!$F:$F,K$3))</f>
        <v>0</v>
      </c>
      <c r="L7" s="83">
        <f>(COUNTIFS('JV Readiness Plan'!$B:$B,$I7,'JV Readiness Plan'!$F:$F,L$3))</f>
        <v>1</v>
      </c>
      <c r="M7" s="83">
        <f>(COUNTIFS('JV Readiness Plan'!$B:$B,$I7,'JV Readiness Plan'!$F:$F,M$3))</f>
        <v>2</v>
      </c>
      <c r="N7" s="83">
        <f>(COUNTIFS('JV Readiness Plan'!$B:$B,$I7,'JV Readiness Plan'!$F:$F,N$3))</f>
        <v>0</v>
      </c>
    </row>
    <row r="8" spans="2:14" s="46" customFormat="1" ht="20.85" customHeight="1" x14ac:dyDescent="0.3">
      <c r="B8" s="76" t="s">
        <v>297</v>
      </c>
      <c r="C8" s="82">
        <f t="shared" si="1"/>
        <v>8</v>
      </c>
      <c r="D8" s="83">
        <f>(COUNTIFS('JV Readiness Plan'!$E:$E,$B8,'JV Readiness Plan'!$F:$F,D$3))</f>
        <v>0</v>
      </c>
      <c r="E8" s="83">
        <f>(COUNTIFS('JV Readiness Plan'!$E:$E,$B8,'JV Readiness Plan'!$F:$F,E$3))</f>
        <v>7</v>
      </c>
      <c r="F8" s="83">
        <f>(COUNTIFS('JV Readiness Plan'!$E:$E,$B8,'JV Readiness Plan'!$F:$F,F$3))</f>
        <v>1</v>
      </c>
      <c r="G8" s="83">
        <f>(COUNTIFS('JV Readiness Plan'!$E:$E,$B8,'JV Readiness Plan'!$F:$F,G$3))</f>
        <v>0</v>
      </c>
      <c r="I8" s="76" t="s">
        <v>81</v>
      </c>
      <c r="J8" s="82">
        <f t="shared" si="2"/>
        <v>4</v>
      </c>
      <c r="K8" s="83">
        <f>(COUNTIFS('JV Readiness Plan'!$B:$B,$I8,'JV Readiness Plan'!$F:$F,K$3))</f>
        <v>0</v>
      </c>
      <c r="L8" s="83">
        <f>(COUNTIFS('JV Readiness Plan'!$B:$B,$I8,'JV Readiness Plan'!$F:$F,L$3))</f>
        <v>2</v>
      </c>
      <c r="M8" s="83">
        <f>(COUNTIFS('JV Readiness Plan'!$B:$B,$I8,'JV Readiness Plan'!$F:$F,M$3))</f>
        <v>2</v>
      </c>
      <c r="N8" s="83">
        <f>(COUNTIFS('JV Readiness Plan'!$B:$B,$I8,'JV Readiness Plan'!$F:$F,N$3))</f>
        <v>0</v>
      </c>
    </row>
    <row r="9" spans="2:14" s="46" customFormat="1" ht="20.85" customHeight="1" x14ac:dyDescent="0.3">
      <c r="B9" s="89" t="s">
        <v>26</v>
      </c>
      <c r="C9" s="82">
        <f t="shared" si="1"/>
        <v>7</v>
      </c>
      <c r="D9" s="90">
        <f>(COUNTIFS('JV Readiness Plan'!$E:$E,$B9,'JV Readiness Plan'!$F:$F,D$3))</f>
        <v>0</v>
      </c>
      <c r="E9" s="90">
        <f>(COUNTIFS('JV Readiness Plan'!$E:$E,$B9,'JV Readiness Plan'!$F:$F,E$3))</f>
        <v>5</v>
      </c>
      <c r="F9" s="90">
        <f>(COUNTIFS('JV Readiness Plan'!$E:$E,$B9,'JV Readiness Plan'!$F:$F,F$3))</f>
        <v>2</v>
      </c>
      <c r="G9" s="90">
        <f>(COUNTIFS('JV Readiness Plan'!$E:$E,$B9,'JV Readiness Plan'!$F:$F,G$3))</f>
        <v>0</v>
      </c>
      <c r="I9" s="76" t="s">
        <v>87</v>
      </c>
      <c r="J9" s="82">
        <f t="shared" si="2"/>
        <v>9</v>
      </c>
      <c r="K9" s="83">
        <f>(COUNTIFS('JV Readiness Plan'!$B:$B,$I9,'JV Readiness Plan'!$F:$F,K$3))</f>
        <v>0</v>
      </c>
      <c r="L9" s="83">
        <f>(COUNTIFS('JV Readiness Plan'!$B:$B,$I9,'JV Readiness Plan'!$F:$F,L$3))</f>
        <v>1</v>
      </c>
      <c r="M9" s="83">
        <f>(COUNTIFS('JV Readiness Plan'!$B:$B,$I9,'JV Readiness Plan'!$F:$F,M$3))</f>
        <v>8</v>
      </c>
      <c r="N9" s="83">
        <f>(COUNTIFS('JV Readiness Plan'!$B:$B,$I9,'JV Readiness Plan'!$F:$F,N$3))</f>
        <v>0</v>
      </c>
    </row>
    <row r="10" spans="2:14" s="46" customFormat="1" ht="20.85" customHeight="1" x14ac:dyDescent="0.3">
      <c r="B10" s="89" t="s">
        <v>307</v>
      </c>
      <c r="C10" s="82">
        <f t="shared" si="1"/>
        <v>6</v>
      </c>
      <c r="D10" s="90">
        <f>(COUNTIFS('JV Readiness Plan'!$E:$E,$B10,'JV Readiness Plan'!$F:$F,D$3))</f>
        <v>0</v>
      </c>
      <c r="E10" s="90">
        <f>(COUNTIFS('JV Readiness Plan'!$E:$E,$B10,'JV Readiness Plan'!$F:$F,E$3))</f>
        <v>4</v>
      </c>
      <c r="F10" s="90">
        <f>(COUNTIFS('JV Readiness Plan'!$E:$E,$B10,'JV Readiness Plan'!$F:$F,F$3))</f>
        <v>2</v>
      </c>
      <c r="G10" s="90">
        <f>(COUNTIFS('JV Readiness Plan'!$E:$E,$B10,'JV Readiness Plan'!$F:$F,G$3))</f>
        <v>0</v>
      </c>
      <c r="I10" s="76" t="s">
        <v>98</v>
      </c>
      <c r="J10" s="82">
        <f t="shared" si="2"/>
        <v>9</v>
      </c>
      <c r="K10" s="83">
        <f>(COUNTIFS('JV Readiness Plan'!$B:$B,$I10,'JV Readiness Plan'!$F:$F,K$3))</f>
        <v>2</v>
      </c>
      <c r="L10" s="83">
        <f>(COUNTIFS('JV Readiness Plan'!$B:$B,$I10,'JV Readiness Plan'!$F:$F,L$3))</f>
        <v>5</v>
      </c>
      <c r="M10" s="83">
        <f>(COUNTIFS('JV Readiness Plan'!$B:$B,$I10,'JV Readiness Plan'!$F:$F,M$3))</f>
        <v>2</v>
      </c>
      <c r="N10" s="83">
        <f>(COUNTIFS('JV Readiness Plan'!$B:$B,$I10,'JV Readiness Plan'!$F:$F,N$3))</f>
        <v>0</v>
      </c>
    </row>
    <row r="11" spans="2:14" s="46" customFormat="1" ht="20.85" customHeight="1" x14ac:dyDescent="0.3">
      <c r="B11" s="89" t="s">
        <v>24</v>
      </c>
      <c r="C11" s="82">
        <f t="shared" si="1"/>
        <v>6</v>
      </c>
      <c r="D11" s="90">
        <f>(COUNTIFS('JV Readiness Plan'!$E:$E,$B11,'JV Readiness Plan'!$F:$F,D$3))</f>
        <v>0</v>
      </c>
      <c r="E11" s="90">
        <f>(COUNTIFS('JV Readiness Plan'!$E:$E,$B11,'JV Readiness Plan'!$F:$F,E$3))</f>
        <v>6</v>
      </c>
      <c r="F11" s="90">
        <f>(COUNTIFS('JV Readiness Plan'!$E:$E,$B11,'JV Readiness Plan'!$F:$F,F$3))</f>
        <v>0</v>
      </c>
      <c r="G11" s="90">
        <f>(COUNTIFS('JV Readiness Plan'!$E:$E,$B11,'JV Readiness Plan'!$F:$F,G$3))</f>
        <v>0</v>
      </c>
      <c r="I11" s="76" t="s">
        <v>17</v>
      </c>
      <c r="J11" s="82">
        <f t="shared" si="2"/>
        <v>20</v>
      </c>
      <c r="K11" s="83">
        <f>(COUNTIFS('JV Readiness Plan'!$B:$B,$I11,'JV Readiness Plan'!$F:$F,K$3))</f>
        <v>0</v>
      </c>
      <c r="L11" s="83">
        <f>(COUNTIFS('JV Readiness Plan'!$B:$B,$I11,'JV Readiness Plan'!$F:$F,L$3))</f>
        <v>18</v>
      </c>
      <c r="M11" s="83">
        <f>(COUNTIFS('JV Readiness Plan'!$B:$B,$I11,'JV Readiness Plan'!$F:$F,M$3))</f>
        <v>2</v>
      </c>
      <c r="N11" s="83">
        <f>(COUNTIFS('JV Readiness Plan'!$B:$B,$I11,'JV Readiness Plan'!$F:$F,N$3))</f>
        <v>0</v>
      </c>
    </row>
    <row r="12" spans="2:14" s="46" customFormat="1" ht="20.85" customHeight="1" x14ac:dyDescent="0.3">
      <c r="B12" s="76" t="s">
        <v>295</v>
      </c>
      <c r="C12" s="82">
        <f t="shared" si="1"/>
        <v>6</v>
      </c>
      <c r="D12" s="83">
        <f>(COUNTIFS('JV Readiness Plan'!$E:$E,$B12,'JV Readiness Plan'!$F:$F,D$3))</f>
        <v>0</v>
      </c>
      <c r="E12" s="83">
        <f>(COUNTIFS('JV Readiness Plan'!$E:$E,$B12,'JV Readiness Plan'!$F:$F,E$3))</f>
        <v>4</v>
      </c>
      <c r="F12" s="83">
        <f>(COUNTIFS('JV Readiness Plan'!$E:$E,$B12,'JV Readiness Plan'!$F:$F,F$3))</f>
        <v>2</v>
      </c>
      <c r="G12" s="83">
        <f>(COUNTIFS('JV Readiness Plan'!$E:$E,$B12,'JV Readiness Plan'!$F:$F,G$3))</f>
        <v>0</v>
      </c>
      <c r="I12" s="76" t="s">
        <v>15</v>
      </c>
      <c r="J12" s="82">
        <f t="shared" si="2"/>
        <v>6</v>
      </c>
      <c r="K12" s="83">
        <f>(COUNTIFS('JV Readiness Plan'!$B:$B,$I12,'JV Readiness Plan'!$F:$F,K$3))</f>
        <v>0</v>
      </c>
      <c r="L12" s="83">
        <f>(COUNTIFS('JV Readiness Plan'!$B:$B,$I12,'JV Readiness Plan'!$F:$F,L$3))</f>
        <v>6</v>
      </c>
      <c r="M12" s="83">
        <f>(COUNTIFS('JV Readiness Plan'!$B:$B,$I12,'JV Readiness Plan'!$F:$F,M$3))</f>
        <v>0</v>
      </c>
      <c r="N12" s="83">
        <f>(COUNTIFS('JV Readiness Plan'!$B:$B,$I12,'JV Readiness Plan'!$F:$F,N$3))</f>
        <v>0</v>
      </c>
    </row>
    <row r="13" spans="2:14" s="46" customFormat="1" ht="20.85" customHeight="1" x14ac:dyDescent="0.3">
      <c r="B13" s="89" t="s">
        <v>287</v>
      </c>
      <c r="C13" s="82">
        <f t="shared" si="1"/>
        <v>4</v>
      </c>
      <c r="D13" s="90">
        <f>(COUNTIFS('JV Readiness Plan'!$E:$E,$B13,'JV Readiness Plan'!$F:$F,D$3))</f>
        <v>0</v>
      </c>
      <c r="E13" s="90">
        <f>(COUNTIFS('JV Readiness Plan'!$E:$E,$B13,'JV Readiness Plan'!$F:$F,E$3))</f>
        <v>4</v>
      </c>
      <c r="F13" s="90">
        <f>(COUNTIFS('JV Readiness Plan'!$E:$E,$B13,'JV Readiness Plan'!$F:$F,F$3))</f>
        <v>0</v>
      </c>
      <c r="G13" s="90">
        <f>(COUNTIFS('JV Readiness Plan'!$E:$E,$B13,'JV Readiness Plan'!$F:$F,G$3))</f>
        <v>0</v>
      </c>
      <c r="I13" s="76" t="s">
        <v>223</v>
      </c>
      <c r="J13" s="82">
        <f t="shared" si="2"/>
        <v>4</v>
      </c>
      <c r="K13" s="83">
        <f>(COUNTIFS('JV Readiness Plan'!$B:$B,$I13,'JV Readiness Plan'!$F:$F,K$3))</f>
        <v>0</v>
      </c>
      <c r="L13" s="83">
        <f>(COUNTIFS('JV Readiness Plan'!$B:$B,$I13,'JV Readiness Plan'!$F:$F,L$3))</f>
        <v>4</v>
      </c>
      <c r="M13" s="83">
        <f>(COUNTIFS('JV Readiness Plan'!$B:$B,$I13,'JV Readiness Plan'!$F:$F,M$3))</f>
        <v>0</v>
      </c>
      <c r="N13" s="83">
        <f>(COUNTIFS('JV Readiness Plan'!$B:$B,$I13,'JV Readiness Plan'!$F:$F,N$3))</f>
        <v>0</v>
      </c>
    </row>
    <row r="14" spans="2:14" s="46" customFormat="1" ht="20.85" customHeight="1" x14ac:dyDescent="0.3">
      <c r="B14" s="76" t="s">
        <v>37</v>
      </c>
      <c r="C14" s="82">
        <f t="shared" si="1"/>
        <v>4</v>
      </c>
      <c r="D14" s="83">
        <f>(COUNTIFS('JV Readiness Plan'!$E:$E,$B14,'JV Readiness Plan'!$F:$F,D$3))</f>
        <v>0</v>
      </c>
      <c r="E14" s="83">
        <f>(COUNTIFS('JV Readiness Plan'!$E:$E,$B14,'JV Readiness Plan'!$F:$F,E$3))</f>
        <v>4</v>
      </c>
      <c r="F14" s="83">
        <f>(COUNTIFS('JV Readiness Plan'!$E:$E,$B14,'JV Readiness Plan'!$F:$F,F$3))</f>
        <v>0</v>
      </c>
      <c r="G14" s="83">
        <f>(COUNTIFS('JV Readiness Plan'!$E:$E,$B14,'JV Readiness Plan'!$F:$F,G$3))</f>
        <v>0</v>
      </c>
      <c r="I14" s="76" t="s">
        <v>23</v>
      </c>
      <c r="J14" s="82">
        <f t="shared" si="2"/>
        <v>6</v>
      </c>
      <c r="K14" s="83">
        <f>(COUNTIFS('JV Readiness Plan'!$B:$B,$I14,'JV Readiness Plan'!$F:$F,K$3))</f>
        <v>0</v>
      </c>
      <c r="L14" s="83">
        <f>(COUNTIFS('JV Readiness Plan'!$B:$B,$I14,'JV Readiness Plan'!$F:$F,L$3))</f>
        <v>6</v>
      </c>
      <c r="M14" s="83">
        <f>(COUNTIFS('JV Readiness Plan'!$B:$B,$I14,'JV Readiness Plan'!$F:$F,M$3))</f>
        <v>0</v>
      </c>
      <c r="N14" s="83">
        <f>(COUNTIFS('JV Readiness Plan'!$B:$B,$I14,'JV Readiness Plan'!$F:$F,N$3))</f>
        <v>0</v>
      </c>
    </row>
    <row r="15" spans="2:14" s="46" customFormat="1" ht="20.85" customHeight="1" x14ac:dyDescent="0.3">
      <c r="B15" s="76" t="s">
        <v>294</v>
      </c>
      <c r="C15" s="82">
        <f t="shared" si="1"/>
        <v>3</v>
      </c>
      <c r="D15" s="83">
        <f>(COUNTIFS('JV Readiness Plan'!$E:$E,$B15,'JV Readiness Plan'!$F:$F,D$3))</f>
        <v>0</v>
      </c>
      <c r="E15" s="83">
        <f>(COUNTIFS('JV Readiness Plan'!$E:$E,$B15,'JV Readiness Plan'!$F:$F,E$3))</f>
        <v>3</v>
      </c>
      <c r="F15" s="83">
        <f>(COUNTIFS('JV Readiness Plan'!$E:$E,$B15,'JV Readiness Plan'!$F:$F,F$3))</f>
        <v>0</v>
      </c>
      <c r="G15" s="83">
        <f>(COUNTIFS('JV Readiness Plan'!$E:$E,$B15,'JV Readiness Plan'!$F:$F,G$3))</f>
        <v>0</v>
      </c>
      <c r="I15" s="76" t="s">
        <v>25</v>
      </c>
      <c r="J15" s="82">
        <f t="shared" si="2"/>
        <v>6</v>
      </c>
      <c r="K15" s="83">
        <f>(COUNTIFS('JV Readiness Plan'!$B:$B,$I15,'JV Readiness Plan'!$F:$F,K$3))</f>
        <v>0</v>
      </c>
      <c r="L15" s="83">
        <f>(COUNTIFS('JV Readiness Plan'!$B:$B,$I15,'JV Readiness Plan'!$F:$F,L$3))</f>
        <v>6</v>
      </c>
      <c r="M15" s="83">
        <f>(COUNTIFS('JV Readiness Plan'!$B:$B,$I15,'JV Readiness Plan'!$F:$F,M$3))</f>
        <v>0</v>
      </c>
      <c r="N15" s="83">
        <f>(COUNTIFS('JV Readiness Plan'!$B:$B,$I15,'JV Readiness Plan'!$F:$F,N$3))</f>
        <v>0</v>
      </c>
    </row>
    <row r="16" spans="2:14" s="46" customFormat="1" ht="20.85" customHeight="1" x14ac:dyDescent="0.3">
      <c r="B16" s="76" t="s">
        <v>29</v>
      </c>
      <c r="C16" s="82">
        <f t="shared" si="1"/>
        <v>3</v>
      </c>
      <c r="D16" s="83">
        <f>(COUNTIFS('JV Readiness Plan'!$E:$E,$B16,'JV Readiness Plan'!$F:$F,D$3))</f>
        <v>0</v>
      </c>
      <c r="E16" s="83">
        <f>(COUNTIFS('JV Readiness Plan'!$E:$E,$B16,'JV Readiness Plan'!$F:$F,E$3))</f>
        <v>3</v>
      </c>
      <c r="F16" s="83">
        <f>(COUNTIFS('JV Readiness Plan'!$E:$E,$B16,'JV Readiness Plan'!$F:$F,F$3))</f>
        <v>0</v>
      </c>
      <c r="G16" s="83">
        <f>(COUNTIFS('JV Readiness Plan'!$E:$E,$B16,'JV Readiness Plan'!$F:$F,G$3))</f>
        <v>0</v>
      </c>
      <c r="I16" s="76" t="s">
        <v>19</v>
      </c>
      <c r="J16" s="82">
        <f t="shared" si="2"/>
        <v>10</v>
      </c>
      <c r="K16" s="83">
        <f>(COUNTIFS('JV Readiness Plan'!$B:$B,$I16,'JV Readiness Plan'!$F:$F,K$3))</f>
        <v>0</v>
      </c>
      <c r="L16" s="83">
        <f>(COUNTIFS('JV Readiness Plan'!$B:$B,$I16,'JV Readiness Plan'!$F:$F,L$3))</f>
        <v>10</v>
      </c>
      <c r="M16" s="83">
        <f>(COUNTIFS('JV Readiness Plan'!$B:$B,$I16,'JV Readiness Plan'!$F:$F,M$3))</f>
        <v>0</v>
      </c>
      <c r="N16" s="83">
        <f>(COUNTIFS('JV Readiness Plan'!$B:$B,$I16,'JV Readiness Plan'!$F:$F,N$3))</f>
        <v>0</v>
      </c>
    </row>
    <row r="17" spans="2:14" s="46" customFormat="1" ht="20.85" customHeight="1" x14ac:dyDescent="0.3">
      <c r="B17" s="76" t="s">
        <v>30</v>
      </c>
      <c r="C17" s="82">
        <f t="shared" si="1"/>
        <v>2</v>
      </c>
      <c r="D17" s="83">
        <f>(COUNTIFS('JV Readiness Plan'!$E:$E,$B17,'JV Readiness Plan'!$F:$F,D$3))</f>
        <v>1</v>
      </c>
      <c r="E17" s="83">
        <f>(COUNTIFS('JV Readiness Plan'!$E:$E,$B17,'JV Readiness Plan'!$F:$F,E$3))</f>
        <v>0</v>
      </c>
      <c r="F17" s="83">
        <f>(COUNTIFS('JV Readiness Plan'!$E:$E,$B17,'JV Readiness Plan'!$F:$F,F$3))</f>
        <v>1</v>
      </c>
      <c r="G17" s="83">
        <f>(COUNTIFS('JV Readiness Plan'!$E:$E,$B17,'JV Readiness Plan'!$F:$F,G$3))</f>
        <v>0</v>
      </c>
      <c r="I17" s="76" t="s">
        <v>21</v>
      </c>
      <c r="J17" s="82">
        <f t="shared" si="2"/>
        <v>13</v>
      </c>
      <c r="K17" s="83">
        <f>(COUNTIFS('JV Readiness Plan'!$B:$B,$I17,'JV Readiness Plan'!$F:$F,K$3))</f>
        <v>0</v>
      </c>
      <c r="L17" s="83">
        <f>(COUNTIFS('JV Readiness Plan'!$B:$B,$I17,'JV Readiness Plan'!$F:$F,L$3))</f>
        <v>12</v>
      </c>
      <c r="M17" s="83">
        <f>(COUNTIFS('JV Readiness Plan'!$B:$B,$I17,'JV Readiness Plan'!$F:$F,M$3))</f>
        <v>1</v>
      </c>
      <c r="N17" s="83">
        <f>(COUNTIFS('JV Readiness Plan'!$B:$B,$I17,'JV Readiness Plan'!$F:$F,N$3))</f>
        <v>0</v>
      </c>
    </row>
    <row r="18" spans="2:14" s="46" customFormat="1" ht="20.85" customHeight="1" x14ac:dyDescent="0.3">
      <c r="B18" s="76" t="s">
        <v>296</v>
      </c>
      <c r="C18" s="82">
        <f t="shared" si="1"/>
        <v>0</v>
      </c>
      <c r="D18" s="83">
        <f>(COUNTIFS('JV Readiness Plan'!$E:$E,$B18,'JV Readiness Plan'!$F:$F,D$3))</f>
        <v>0</v>
      </c>
      <c r="E18" s="83">
        <f>(COUNTIFS('JV Readiness Plan'!$E:$E,$B18,'JV Readiness Plan'!$F:$F,E$3))</f>
        <v>0</v>
      </c>
      <c r="F18" s="83">
        <f>(COUNTIFS('JV Readiness Plan'!$E:$E,$B18,'JV Readiness Plan'!$F:$F,F$3))</f>
        <v>0</v>
      </c>
      <c r="G18" s="83">
        <f>(COUNTIFS('JV Readiness Plan'!$E:$E,$B18,'JV Readiness Plan'!$F:$F,G$3))</f>
        <v>0</v>
      </c>
      <c r="I18" s="76" t="s">
        <v>22</v>
      </c>
      <c r="J18" s="82">
        <f t="shared" si="2"/>
        <v>4</v>
      </c>
      <c r="K18" s="83">
        <f>(COUNTIFS('JV Readiness Plan'!$B:$B,$I18,'JV Readiness Plan'!$F:$F,K$3))</f>
        <v>0</v>
      </c>
      <c r="L18" s="83">
        <f>(COUNTIFS('JV Readiness Plan'!$B:$B,$I18,'JV Readiness Plan'!$F:$F,L$3))</f>
        <v>4</v>
      </c>
      <c r="M18" s="83">
        <f>(COUNTIFS('JV Readiness Plan'!$B:$B,$I18,'JV Readiness Plan'!$F:$F,M$3))</f>
        <v>0</v>
      </c>
      <c r="N18" s="83">
        <f>(COUNTIFS('JV Readiness Plan'!$B:$B,$I18,'JV Readiness Plan'!$F:$F,N$3))</f>
        <v>0</v>
      </c>
    </row>
    <row r="19" spans="2:14" s="46" customFormat="1" ht="20.85" customHeight="1" x14ac:dyDescent="0.3">
      <c r="B19" s="76" t="s">
        <v>31</v>
      </c>
      <c r="C19" s="82">
        <f t="shared" si="1"/>
        <v>2</v>
      </c>
      <c r="D19" s="83">
        <f>(COUNTIFS('JV Readiness Plan'!$E:$E,$B19,'JV Readiness Plan'!$F:$F,D$3))</f>
        <v>0</v>
      </c>
      <c r="E19" s="83">
        <f>(COUNTIFS('JV Readiness Plan'!$E:$E,$B19,'JV Readiness Plan'!$F:$F,E$3))</f>
        <v>2</v>
      </c>
      <c r="F19" s="83">
        <f>(COUNTIFS('JV Readiness Plan'!$E:$E,$B19,'JV Readiness Plan'!$F:$F,F$3))</f>
        <v>0</v>
      </c>
      <c r="G19" s="83">
        <f>(COUNTIFS('JV Readiness Plan'!$E:$E,$B19,'JV Readiness Plan'!$F:$F,G$3))</f>
        <v>0</v>
      </c>
      <c r="I19" s="76" t="s">
        <v>27</v>
      </c>
      <c r="J19" s="82">
        <f t="shared" si="2"/>
        <v>3</v>
      </c>
      <c r="K19" s="83">
        <f>(COUNTIFS('JV Readiness Plan'!$B:$B,$I19,'JV Readiness Plan'!$F:$F,K$3))</f>
        <v>0</v>
      </c>
      <c r="L19" s="83">
        <f>(COUNTIFS('JV Readiness Plan'!$B:$B,$I19,'JV Readiness Plan'!$F:$F,L$3))</f>
        <v>3</v>
      </c>
      <c r="M19" s="83">
        <f>(COUNTIFS('JV Readiness Plan'!$B:$B,$I19,'JV Readiness Plan'!$F:$F,M$3))</f>
        <v>0</v>
      </c>
      <c r="N19" s="83">
        <f>(COUNTIFS('JV Readiness Plan'!$B:$B,$I19,'JV Readiness Plan'!$F:$F,N$3))</f>
        <v>0</v>
      </c>
    </row>
    <row r="20" spans="2:14" s="46" customFormat="1" ht="20.85" customHeight="1" x14ac:dyDescent="0.3">
      <c r="B20" s="89" t="s">
        <v>32</v>
      </c>
      <c r="C20" s="82">
        <f t="shared" si="1"/>
        <v>2</v>
      </c>
      <c r="D20" s="90">
        <f>(COUNTIFS('JV Readiness Plan'!$E:$E,$B20,'JV Readiness Plan'!$F:$F,D$3))</f>
        <v>0</v>
      </c>
      <c r="E20" s="90">
        <f>(COUNTIFS('JV Readiness Plan'!$E:$E,$B20,'JV Readiness Plan'!$F:$F,E$3))</f>
        <v>2</v>
      </c>
      <c r="F20" s="90">
        <f>(COUNTIFS('JV Readiness Plan'!$E:$E,$B20,'JV Readiness Plan'!$F:$F,F$3))</f>
        <v>0</v>
      </c>
      <c r="G20" s="90">
        <f>(COUNTIFS('JV Readiness Plan'!$E:$E,$B20,'JV Readiness Plan'!$F:$F,G$3))</f>
        <v>0</v>
      </c>
      <c r="I20" s="76" t="s">
        <v>28</v>
      </c>
      <c r="J20" s="82">
        <f t="shared" si="2"/>
        <v>1</v>
      </c>
      <c r="K20" s="83">
        <f>(COUNTIFS('JV Readiness Plan'!$B:$B,$I20,'JV Readiness Plan'!$F:$F,K$3))</f>
        <v>0</v>
      </c>
      <c r="L20" s="83">
        <f>(COUNTIFS('JV Readiness Plan'!$B:$B,$I20,'JV Readiness Plan'!$F:$F,L$3))</f>
        <v>1</v>
      </c>
      <c r="M20" s="83">
        <f>(COUNTIFS('JV Readiness Plan'!$B:$B,$I20,'JV Readiness Plan'!$F:$F,M$3))</f>
        <v>0</v>
      </c>
      <c r="N20" s="83">
        <f>(COUNTIFS('JV Readiness Plan'!$B:$B,$I20,'JV Readiness Plan'!$F:$F,N$3))</f>
        <v>0</v>
      </c>
    </row>
    <row r="21" spans="2:14" s="46" customFormat="1" ht="20.85" customHeight="1" x14ac:dyDescent="0.3">
      <c r="B21" s="76" t="s">
        <v>33</v>
      </c>
      <c r="C21" s="82">
        <f t="shared" si="1"/>
        <v>2</v>
      </c>
      <c r="D21" s="83">
        <f>(COUNTIFS('JV Readiness Plan'!$E:$E,$B21,'JV Readiness Plan'!$F:$F,D$3))</f>
        <v>0</v>
      </c>
      <c r="E21" s="83">
        <f>(COUNTIFS('JV Readiness Plan'!$E:$E,$B21,'JV Readiness Plan'!$F:$F,E$3))</f>
        <v>2</v>
      </c>
      <c r="F21" s="83">
        <f>(COUNTIFS('JV Readiness Plan'!$E:$E,$B21,'JV Readiness Plan'!$F:$F,F$3))</f>
        <v>0</v>
      </c>
      <c r="G21" s="83">
        <f>(COUNTIFS('JV Readiness Plan'!$E:$E,$B21,'JV Readiness Plan'!$F:$F,G$3))</f>
        <v>0</v>
      </c>
      <c r="J21" s="48"/>
      <c r="K21" s="48"/>
      <c r="L21" s="48"/>
      <c r="M21" s="48"/>
    </row>
    <row r="22" spans="2:14" s="46" customFormat="1" ht="20.85" customHeight="1" x14ac:dyDescent="0.3">
      <c r="B22" s="76" t="s">
        <v>34</v>
      </c>
      <c r="C22" s="82">
        <f t="shared" si="1"/>
        <v>2</v>
      </c>
      <c r="D22" s="83">
        <f>(COUNTIFS('JV Readiness Plan'!$E:$E,$B22,'JV Readiness Plan'!$F:$F,D$3))</f>
        <v>0</v>
      </c>
      <c r="E22" s="83">
        <f>(COUNTIFS('JV Readiness Plan'!$E:$E,$B22,'JV Readiness Plan'!$F:$F,E$3))</f>
        <v>2</v>
      </c>
      <c r="F22" s="83">
        <f>(COUNTIFS('JV Readiness Plan'!$E:$E,$B22,'JV Readiness Plan'!$F:$F,F$3))</f>
        <v>0</v>
      </c>
      <c r="G22" s="83">
        <f>(COUNTIFS('JV Readiness Plan'!$E:$E,$B22,'JV Readiness Plan'!$F:$F,G$3))</f>
        <v>0</v>
      </c>
      <c r="J22" s="48"/>
      <c r="K22" s="48"/>
      <c r="L22" s="48"/>
      <c r="M22" s="48"/>
    </row>
    <row r="23" spans="2:14" s="46" customFormat="1" ht="20.85" customHeight="1" x14ac:dyDescent="0.3">
      <c r="B23" s="76" t="s">
        <v>35</v>
      </c>
      <c r="C23" s="82">
        <f t="shared" si="1"/>
        <v>0</v>
      </c>
      <c r="D23" s="83">
        <f>(COUNTIFS('JV Readiness Plan'!$E:$E,$B23,'JV Readiness Plan'!$F:$F,D$3))</f>
        <v>0</v>
      </c>
      <c r="E23" s="83">
        <f>(COUNTIFS('JV Readiness Plan'!$E:$E,$B23,'JV Readiness Plan'!$F:$F,E$3))</f>
        <v>0</v>
      </c>
      <c r="F23" s="83">
        <f>(COUNTIFS('JV Readiness Plan'!$E:$E,$B23,'JV Readiness Plan'!$F:$F,F$3))</f>
        <v>0</v>
      </c>
      <c r="G23" s="83">
        <f>(COUNTIFS('JV Readiness Plan'!$E:$E,$B23,'JV Readiness Plan'!$F:$F,G$3))</f>
        <v>0</v>
      </c>
      <c r="J23" s="48"/>
      <c r="K23" s="48"/>
      <c r="L23" s="48"/>
      <c r="M23" s="48"/>
    </row>
    <row r="24" spans="2:14" s="46" customFormat="1" ht="20.85" customHeight="1" x14ac:dyDescent="0.3">
      <c r="B24" s="89" t="s">
        <v>36</v>
      </c>
      <c r="C24" s="82">
        <f t="shared" si="1"/>
        <v>2</v>
      </c>
      <c r="D24" s="90">
        <f>(COUNTIFS('JV Readiness Plan'!$E:$E,$B24,'JV Readiness Plan'!$F:$F,D$3))</f>
        <v>0</v>
      </c>
      <c r="E24" s="90">
        <f>(COUNTIFS('JV Readiness Plan'!$E:$E,$B24,'JV Readiness Plan'!$F:$F,E$3))</f>
        <v>2</v>
      </c>
      <c r="F24" s="90">
        <f>(COUNTIFS('JV Readiness Plan'!$E:$E,$B24,'JV Readiness Plan'!$F:$F,F$3))</f>
        <v>0</v>
      </c>
      <c r="G24" s="90">
        <f>(COUNTIFS('JV Readiness Plan'!$E:$E,$B24,'JV Readiness Plan'!$F:$F,G$3))</f>
        <v>0</v>
      </c>
      <c r="J24" s="48"/>
      <c r="K24" s="48"/>
      <c r="L24" s="48"/>
      <c r="M24" s="48"/>
    </row>
    <row r="25" spans="2:14" s="46" customFormat="1" ht="20.85" customHeight="1" x14ac:dyDescent="0.3">
      <c r="B25" s="76" t="s">
        <v>290</v>
      </c>
      <c r="C25" s="82">
        <f t="shared" si="1"/>
        <v>1</v>
      </c>
      <c r="D25" s="83">
        <f>(COUNTIFS('JV Readiness Plan'!$E:$E,$B25,'JV Readiness Plan'!$F:$F,D$3))</f>
        <v>0</v>
      </c>
      <c r="E25" s="83">
        <f>(COUNTIFS('JV Readiness Plan'!$E:$E,$B25,'JV Readiness Plan'!$F:$F,E$3))</f>
        <v>1</v>
      </c>
      <c r="F25" s="83">
        <f>(COUNTIFS('JV Readiness Plan'!$E:$E,$B25,'JV Readiness Plan'!$F:$F,F$3))</f>
        <v>0</v>
      </c>
      <c r="G25" s="83">
        <f>(COUNTIFS('JV Readiness Plan'!$E:$E,$B25,'JV Readiness Plan'!$F:$F,G$3))</f>
        <v>0</v>
      </c>
      <c r="J25" s="48"/>
      <c r="K25" s="48"/>
      <c r="L25" s="48"/>
      <c r="M25" s="48"/>
    </row>
    <row r="26" spans="2:14" s="46" customFormat="1" ht="20.85" customHeight="1" x14ac:dyDescent="0.3">
      <c r="B26" s="76" t="s">
        <v>288</v>
      </c>
      <c r="C26" s="82">
        <f t="shared" si="1"/>
        <v>1</v>
      </c>
      <c r="D26" s="83">
        <f>(COUNTIFS('JV Readiness Plan'!$E:$E,$B26,'JV Readiness Plan'!$F:$F,D$3))</f>
        <v>0</v>
      </c>
      <c r="E26" s="83">
        <f>(COUNTIFS('JV Readiness Plan'!$E:$E,$B26,'JV Readiness Plan'!$F:$F,E$3))</f>
        <v>1</v>
      </c>
      <c r="F26" s="83">
        <f>(COUNTIFS('JV Readiness Plan'!$E:$E,$B26,'JV Readiness Plan'!$F:$F,F$3))</f>
        <v>0</v>
      </c>
      <c r="G26" s="83">
        <f>(COUNTIFS('JV Readiness Plan'!$E:$E,$B26,'JV Readiness Plan'!$F:$F,G$3))</f>
        <v>0</v>
      </c>
      <c r="J26" s="48"/>
      <c r="K26" s="48"/>
      <c r="L26" s="48"/>
      <c r="M26" s="48"/>
    </row>
    <row r="27" spans="2:14" s="46" customFormat="1" ht="20.85" customHeight="1" x14ac:dyDescent="0.3">
      <c r="B27" s="76" t="s">
        <v>289</v>
      </c>
      <c r="C27" s="82">
        <f t="shared" si="1"/>
        <v>1</v>
      </c>
      <c r="D27" s="83">
        <f>(COUNTIFS('JV Readiness Plan'!$E:$E,$B27,'JV Readiness Plan'!$F:$F,D$3))</f>
        <v>0</v>
      </c>
      <c r="E27" s="83">
        <f>(COUNTIFS('JV Readiness Plan'!$E:$E,$B27,'JV Readiness Plan'!$F:$F,E$3))</f>
        <v>1</v>
      </c>
      <c r="F27" s="83">
        <f>(COUNTIFS('JV Readiness Plan'!$E:$E,$B27,'JV Readiness Plan'!$F:$F,F$3))</f>
        <v>0</v>
      </c>
      <c r="G27" s="83">
        <f>(COUNTIFS('JV Readiness Plan'!$E:$E,$B27,'JV Readiness Plan'!$F:$F,G$3))</f>
        <v>0</v>
      </c>
      <c r="J27" s="48"/>
      <c r="K27" s="48"/>
      <c r="L27" s="48"/>
      <c r="M27" s="48"/>
    </row>
    <row r="28" spans="2:14" s="46" customFormat="1" ht="20.85" customHeight="1" x14ac:dyDescent="0.3">
      <c r="B28" s="76" t="s">
        <v>38</v>
      </c>
      <c r="C28" s="82">
        <f t="shared" si="1"/>
        <v>1</v>
      </c>
      <c r="D28" s="83">
        <f>(COUNTIFS('JV Readiness Plan'!$E:$E,$B28,'JV Readiness Plan'!$F:$F,D$3))</f>
        <v>0</v>
      </c>
      <c r="E28" s="83">
        <f>(COUNTIFS('JV Readiness Plan'!$E:$E,$B28,'JV Readiness Plan'!$F:$F,E$3))</f>
        <v>1</v>
      </c>
      <c r="F28" s="83">
        <f>(COUNTIFS('JV Readiness Plan'!$E:$E,$B28,'JV Readiness Plan'!$F:$F,F$3))</f>
        <v>0</v>
      </c>
      <c r="G28" s="83">
        <f>(COUNTIFS('JV Readiness Plan'!$E:$E,$B28,'JV Readiness Plan'!$F:$F,G$3))</f>
        <v>0</v>
      </c>
      <c r="J28" s="48"/>
      <c r="K28" s="48"/>
      <c r="L28" s="48"/>
      <c r="M28" s="48"/>
    </row>
    <row r="29" spans="2:14" s="46" customFormat="1" ht="20.85" customHeight="1" x14ac:dyDescent="0.3">
      <c r="B29"/>
      <c r="C29"/>
      <c r="D29"/>
      <c r="E29"/>
      <c r="F29"/>
      <c r="G29"/>
      <c r="J29" s="48"/>
      <c r="K29" s="48"/>
      <c r="L29" s="48"/>
      <c r="M29" s="48"/>
    </row>
    <row r="30" spans="2:14" s="46" customFormat="1" ht="20.85" customHeight="1" x14ac:dyDescent="0.3">
      <c r="B30"/>
      <c r="C30"/>
      <c r="D30"/>
      <c r="E30"/>
      <c r="F30"/>
      <c r="G30"/>
      <c r="J30" s="48"/>
      <c r="K30" s="48"/>
      <c r="L30" s="48"/>
      <c r="M30" s="48"/>
    </row>
    <row r="31" spans="2:14" s="46" customFormat="1" ht="20.85" customHeight="1" x14ac:dyDescent="0.3">
      <c r="B31"/>
      <c r="C31"/>
      <c r="D31"/>
      <c r="E31"/>
      <c r="F31"/>
      <c r="G31"/>
      <c r="J31" s="48"/>
      <c r="K31" s="48"/>
      <c r="L31" s="48"/>
      <c r="M31" s="48"/>
    </row>
    <row r="32" spans="2:14" s="46" customFormat="1" ht="20.85" customHeight="1" x14ac:dyDescent="0.3">
      <c r="B32"/>
      <c r="C32"/>
      <c r="D32"/>
      <c r="E32"/>
      <c r="F32"/>
      <c r="G32"/>
      <c r="J32" s="48"/>
      <c r="K32" s="48"/>
      <c r="L32" s="48"/>
      <c r="M32" s="48"/>
    </row>
    <row r="33" spans="2:14" s="46" customFormat="1" ht="20.85" customHeight="1" x14ac:dyDescent="0.3">
      <c r="B33"/>
      <c r="C33"/>
      <c r="D33"/>
      <c r="E33"/>
      <c r="F33"/>
      <c r="G33"/>
      <c r="I33"/>
      <c r="J33" s="4"/>
      <c r="K33" s="4"/>
      <c r="L33" s="4"/>
      <c r="M33" s="4"/>
      <c r="N33"/>
    </row>
    <row r="34" spans="2:14" s="46" customFormat="1" ht="20.85" customHeight="1" x14ac:dyDescent="0.3">
      <c r="B34"/>
      <c r="C34"/>
      <c r="D34"/>
      <c r="E34"/>
      <c r="F34"/>
      <c r="G34"/>
      <c r="I34"/>
      <c r="J34" s="4"/>
      <c r="K34" s="4"/>
      <c r="L34" s="4"/>
      <c r="M34" s="4"/>
      <c r="N34"/>
    </row>
    <row r="35" spans="2:14" s="46" customFormat="1" ht="20.85" customHeight="1" x14ac:dyDescent="0.3">
      <c r="B35"/>
      <c r="C35"/>
      <c r="D35"/>
      <c r="E35"/>
      <c r="F35"/>
      <c r="G35"/>
      <c r="I35"/>
      <c r="J35" s="4"/>
      <c r="K35" s="4"/>
      <c r="L35" s="4"/>
      <c r="M35" s="4"/>
      <c r="N35"/>
    </row>
    <row r="36" spans="2:14" s="46" customFormat="1" ht="20.85" customHeight="1" x14ac:dyDescent="0.3">
      <c r="B36"/>
      <c r="C36"/>
      <c r="D36"/>
      <c r="E36"/>
      <c r="F36"/>
      <c r="G36"/>
      <c r="I36"/>
      <c r="J36" s="4"/>
      <c r="K36" s="4"/>
      <c r="L36" s="4"/>
      <c r="M36" s="4"/>
      <c r="N36"/>
    </row>
    <row r="37" spans="2:14" s="46" customFormat="1" ht="20.85" customHeight="1" x14ac:dyDescent="0.3">
      <c r="B37"/>
      <c r="C37"/>
      <c r="D37"/>
      <c r="E37"/>
      <c r="F37"/>
      <c r="G37"/>
      <c r="I37"/>
      <c r="J37" s="4"/>
      <c r="K37" s="4"/>
      <c r="L37" s="4"/>
      <c r="M37" s="4"/>
      <c r="N37"/>
    </row>
  </sheetData>
  <conditionalFormatting sqref="N4:N20 G4:G28">
    <cfRule type="cellIs" dxfId="2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9.9978637043366805E-2"/>
  </sheetPr>
  <dimension ref="A1:K133"/>
  <sheetViews>
    <sheetView showGridLines="0" tabSelected="1" zoomScale="70" zoomScaleNormal="70" workbookViewId="0">
      <pane ySplit="3" topLeftCell="A4" activePane="bottomLeft" state="frozen"/>
      <selection pane="bottomLeft" activeCell="A3" sqref="A3"/>
    </sheetView>
  </sheetViews>
  <sheetFormatPr defaultRowHeight="15.05" outlineLevelRow="1" x14ac:dyDescent="0.3"/>
  <cols>
    <col min="1" max="1" width="21.109375" style="4" customWidth="1"/>
    <col min="2" max="2" width="16.44140625" customWidth="1"/>
    <col min="3" max="3" width="26.109375" customWidth="1"/>
    <col min="4" max="4" width="123.88671875" customWidth="1"/>
    <col min="5" max="5" width="21" customWidth="1"/>
    <col min="6" max="6" width="14.21875" style="48" customWidth="1"/>
    <col min="7" max="7" width="12.77734375" style="4" customWidth="1"/>
    <col min="8" max="8" width="12.77734375" style="16" customWidth="1"/>
    <col min="9" max="9" width="12.77734375" style="4" customWidth="1"/>
    <col min="10" max="11" width="14.109375" customWidth="1"/>
    <col min="12" max="12" width="120.77734375" customWidth="1"/>
  </cols>
  <sheetData>
    <row r="1" spans="1:11" ht="33.049999999999997" customHeight="1" x14ac:dyDescent="1.05">
      <c r="A1" s="5" t="s">
        <v>39</v>
      </c>
      <c r="B1" s="1"/>
      <c r="C1" s="1"/>
      <c r="D1" s="1"/>
      <c r="E1" s="1"/>
      <c r="F1" s="47"/>
      <c r="G1" s="3"/>
      <c r="H1" s="44" t="s">
        <v>40</v>
      </c>
      <c r="I1" s="45">
        <f>MAX(I4:I133)</f>
        <v>46265</v>
      </c>
      <c r="J1" s="1"/>
      <c r="K1" s="1"/>
    </row>
    <row r="2" spans="1:11" ht="25.7" x14ac:dyDescent="0.8">
      <c r="A2" s="3"/>
      <c r="B2" s="1"/>
      <c r="C2" s="1"/>
      <c r="D2" s="1"/>
      <c r="H2"/>
    </row>
    <row r="3" spans="1:11" ht="45.1" x14ac:dyDescent="0.3">
      <c r="A3" s="23" t="s">
        <v>12</v>
      </c>
      <c r="B3" s="23" t="s">
        <v>41</v>
      </c>
      <c r="C3" s="24" t="s">
        <v>42</v>
      </c>
      <c r="D3" s="23" t="s">
        <v>43</v>
      </c>
      <c r="E3" s="25" t="s">
        <v>6</v>
      </c>
      <c r="F3" s="25" t="s">
        <v>44</v>
      </c>
      <c r="G3" s="25" t="s">
        <v>45</v>
      </c>
      <c r="H3" s="25" t="s">
        <v>46</v>
      </c>
      <c r="I3" s="25" t="s">
        <v>47</v>
      </c>
      <c r="J3" s="25" t="s">
        <v>48</v>
      </c>
      <c r="K3" s="25" t="s">
        <v>225</v>
      </c>
    </row>
    <row r="4" spans="1:11" ht="24.6" customHeight="1" x14ac:dyDescent="0.3">
      <c r="A4" s="57"/>
      <c r="B4" s="57" t="s">
        <v>49</v>
      </c>
      <c r="C4" s="58"/>
      <c r="D4" s="58"/>
      <c r="E4" s="58"/>
      <c r="F4" s="59"/>
      <c r="G4" s="60">
        <f>MIN(G5:G13)</f>
        <v>46054</v>
      </c>
      <c r="H4" s="61">
        <f>I4-G4</f>
        <v>58</v>
      </c>
      <c r="I4" s="60">
        <f>MAX(I5:I13)</f>
        <v>46112</v>
      </c>
      <c r="J4" s="62"/>
      <c r="K4" s="62"/>
    </row>
    <row r="5" spans="1:11" ht="34.450000000000003" customHeight="1" outlineLevel="1" x14ac:dyDescent="0.3">
      <c r="A5" s="91" t="s">
        <v>13</v>
      </c>
      <c r="B5" s="19" t="s">
        <v>50</v>
      </c>
      <c r="C5" s="19" t="s">
        <v>234</v>
      </c>
      <c r="D5" s="19" t="s">
        <v>51</v>
      </c>
      <c r="E5" s="19" t="s">
        <v>16</v>
      </c>
      <c r="F5" s="49" t="s">
        <v>10</v>
      </c>
      <c r="G5" s="26">
        <v>46054</v>
      </c>
      <c r="H5" s="27">
        <v>14</v>
      </c>
      <c r="I5" s="28">
        <f>G5+H5</f>
        <v>46068</v>
      </c>
      <c r="J5" s="69">
        <f t="shared" ref="J5" ca="1" si="0">IFERROR(MAX(0,MIN(1,(TODAY()-G5)/(I5-G5))),"")</f>
        <v>1</v>
      </c>
      <c r="K5" s="85">
        <v>1</v>
      </c>
    </row>
    <row r="6" spans="1:11" ht="41.95" customHeight="1" outlineLevel="1" x14ac:dyDescent="0.3">
      <c r="A6" s="92" t="s">
        <v>13</v>
      </c>
      <c r="B6" s="13" t="s">
        <v>50</v>
      </c>
      <c r="C6" s="13" t="s">
        <v>233</v>
      </c>
      <c r="D6" s="13" t="s">
        <v>52</v>
      </c>
      <c r="E6" s="19" t="s">
        <v>16</v>
      </c>
      <c r="F6" s="50" t="s">
        <v>9</v>
      </c>
      <c r="G6" s="29">
        <f>I5</f>
        <v>46068</v>
      </c>
      <c r="H6" s="30">
        <v>18</v>
      </c>
      <c r="I6" s="29">
        <f>G6+H6</f>
        <v>46086</v>
      </c>
      <c r="J6" s="70">
        <f ca="1">IFERROR(MAX(0,MIN(1,(TODAY()-G6)/(I6-G6))),"")</f>
        <v>0.83333333333333337</v>
      </c>
      <c r="K6" s="86">
        <v>0.8</v>
      </c>
    </row>
    <row r="7" spans="1:11" ht="41.95" customHeight="1" outlineLevel="1" x14ac:dyDescent="0.3">
      <c r="A7" s="92" t="s">
        <v>13</v>
      </c>
      <c r="B7" s="13" t="s">
        <v>50</v>
      </c>
      <c r="C7" s="13" t="s">
        <v>53</v>
      </c>
      <c r="D7" s="13" t="s">
        <v>54</v>
      </c>
      <c r="E7" s="13" t="s">
        <v>30</v>
      </c>
      <c r="F7" s="50" t="s">
        <v>9</v>
      </c>
      <c r="G7" s="29">
        <f>I5</f>
        <v>46068</v>
      </c>
      <c r="H7" s="30">
        <v>18</v>
      </c>
      <c r="I7" s="29">
        <f>G7+H7</f>
        <v>46086</v>
      </c>
      <c r="J7" s="70">
        <f t="shared" ref="J7:J13" ca="1" si="1">IFERROR(MAX(0,MIN(1,(TODAY()-G7)/(I7-G7))),"")</f>
        <v>0.83333333333333337</v>
      </c>
      <c r="K7" s="86">
        <v>0.8</v>
      </c>
    </row>
    <row r="8" spans="1:11" ht="35.25" customHeight="1" outlineLevel="1" x14ac:dyDescent="0.3">
      <c r="A8" s="92" t="s">
        <v>13</v>
      </c>
      <c r="B8" s="13" t="s">
        <v>50</v>
      </c>
      <c r="C8" s="22" t="s">
        <v>55</v>
      </c>
      <c r="D8" s="22" t="s">
        <v>56</v>
      </c>
      <c r="E8" s="19" t="s">
        <v>307</v>
      </c>
      <c r="F8" s="50" t="s">
        <v>9</v>
      </c>
      <c r="G8" s="33">
        <v>46071</v>
      </c>
      <c r="H8" s="36">
        <v>14</v>
      </c>
      <c r="I8" s="28">
        <f>G8+H8</f>
        <v>46085</v>
      </c>
      <c r="J8" s="69">
        <f ca="1">IFERROR(MAX(0,MIN(1,(TODAY()-G8)/(I8-G8))),"")</f>
        <v>0.8571428571428571</v>
      </c>
      <c r="K8" s="85">
        <v>0.5</v>
      </c>
    </row>
    <row r="9" spans="1:11" ht="41.95" customHeight="1" outlineLevel="1" x14ac:dyDescent="0.3">
      <c r="A9" s="92" t="s">
        <v>13</v>
      </c>
      <c r="B9" s="13" t="s">
        <v>50</v>
      </c>
      <c r="C9" s="13" t="s">
        <v>235</v>
      </c>
      <c r="D9" s="13" t="s">
        <v>57</v>
      </c>
      <c r="E9" s="19" t="s">
        <v>16</v>
      </c>
      <c r="F9" s="50" t="s">
        <v>9</v>
      </c>
      <c r="G9" s="29">
        <f>I7</f>
        <v>46086</v>
      </c>
      <c r="H9" s="30">
        <v>7</v>
      </c>
      <c r="I9" s="29">
        <f t="shared" ref="I9:I42" si="2">G9+H9</f>
        <v>46093</v>
      </c>
      <c r="J9" s="70">
        <f t="shared" ca="1" si="1"/>
        <v>0</v>
      </c>
      <c r="K9" s="86">
        <v>0</v>
      </c>
    </row>
    <row r="10" spans="1:11" ht="41.95" customHeight="1" outlineLevel="1" x14ac:dyDescent="0.3">
      <c r="A10" s="92" t="s">
        <v>13</v>
      </c>
      <c r="B10" s="13" t="s">
        <v>50</v>
      </c>
      <c r="C10" s="13" t="s">
        <v>236</v>
      </c>
      <c r="D10" s="13" t="s">
        <v>59</v>
      </c>
      <c r="E10" s="19" t="s">
        <v>16</v>
      </c>
      <c r="F10" s="50" t="s">
        <v>58</v>
      </c>
      <c r="G10" s="29">
        <f>I9</f>
        <v>46093</v>
      </c>
      <c r="H10" s="30">
        <v>3</v>
      </c>
      <c r="I10" s="29">
        <f t="shared" si="2"/>
        <v>46096</v>
      </c>
      <c r="J10" s="70">
        <f t="shared" ca="1" si="1"/>
        <v>0</v>
      </c>
      <c r="K10" s="86">
        <v>0</v>
      </c>
    </row>
    <row r="11" spans="1:11" ht="41.95" customHeight="1" outlineLevel="1" x14ac:dyDescent="0.3">
      <c r="A11" s="92" t="s">
        <v>13</v>
      </c>
      <c r="B11" s="13" t="s">
        <v>50</v>
      </c>
      <c r="C11" s="13" t="s">
        <v>60</v>
      </c>
      <c r="D11" s="13" t="s">
        <v>61</v>
      </c>
      <c r="E11" s="19" t="s">
        <v>16</v>
      </c>
      <c r="F11" s="50" t="s">
        <v>58</v>
      </c>
      <c r="G11" s="29">
        <f>I10</f>
        <v>46096</v>
      </c>
      <c r="H11" s="30">
        <v>7</v>
      </c>
      <c r="I11" s="29">
        <f t="shared" si="2"/>
        <v>46103</v>
      </c>
      <c r="J11" s="70">
        <f t="shared" ca="1" si="1"/>
        <v>0</v>
      </c>
      <c r="K11" s="86">
        <v>0</v>
      </c>
    </row>
    <row r="12" spans="1:11" ht="41.95" customHeight="1" outlineLevel="1" x14ac:dyDescent="0.3">
      <c r="A12" s="92" t="s">
        <v>13</v>
      </c>
      <c r="B12" s="13" t="s">
        <v>50</v>
      </c>
      <c r="C12" s="13" t="s">
        <v>62</v>
      </c>
      <c r="D12" s="13" t="s">
        <v>63</v>
      </c>
      <c r="E12" s="19" t="s">
        <v>307</v>
      </c>
      <c r="F12" s="50" t="s">
        <v>58</v>
      </c>
      <c r="G12" s="29">
        <f>I11</f>
        <v>46103</v>
      </c>
      <c r="H12" s="30">
        <v>2</v>
      </c>
      <c r="I12" s="29">
        <f t="shared" si="2"/>
        <v>46105</v>
      </c>
      <c r="J12" s="70">
        <f t="shared" ca="1" si="1"/>
        <v>0</v>
      </c>
      <c r="K12" s="86">
        <v>0</v>
      </c>
    </row>
    <row r="13" spans="1:11" ht="41.95" customHeight="1" outlineLevel="1" x14ac:dyDescent="0.3">
      <c r="A13" s="92" t="s">
        <v>13</v>
      </c>
      <c r="B13" s="13" t="s">
        <v>50</v>
      </c>
      <c r="C13" s="13" t="s">
        <v>237</v>
      </c>
      <c r="D13" s="13" t="s">
        <v>64</v>
      </c>
      <c r="E13" s="19" t="s">
        <v>307</v>
      </c>
      <c r="F13" s="50" t="s">
        <v>58</v>
      </c>
      <c r="G13" s="29">
        <f>I12</f>
        <v>46105</v>
      </c>
      <c r="H13" s="30">
        <v>7</v>
      </c>
      <c r="I13" s="29">
        <f t="shared" si="2"/>
        <v>46112</v>
      </c>
      <c r="J13" s="70">
        <f t="shared" ca="1" si="1"/>
        <v>0</v>
      </c>
      <c r="K13" s="86">
        <v>0</v>
      </c>
    </row>
    <row r="14" spans="1:11" ht="24.6" customHeight="1" x14ac:dyDescent="0.3">
      <c r="A14" s="57"/>
      <c r="B14" s="57" t="s">
        <v>65</v>
      </c>
      <c r="C14" s="58"/>
      <c r="D14" s="58"/>
      <c r="E14" s="58"/>
      <c r="F14" s="59"/>
      <c r="G14" s="60">
        <f>MIN(G15:G20)</f>
        <v>46054</v>
      </c>
      <c r="H14" s="61">
        <f>I14-G14</f>
        <v>66</v>
      </c>
      <c r="I14" s="60">
        <f>MAX(I15:I20)</f>
        <v>46120</v>
      </c>
      <c r="J14" s="62"/>
      <c r="K14" s="87"/>
    </row>
    <row r="15" spans="1:11" ht="35.25" customHeight="1" outlineLevel="1" x14ac:dyDescent="0.3">
      <c r="A15" s="91" t="s">
        <v>13</v>
      </c>
      <c r="B15" s="22" t="s">
        <v>65</v>
      </c>
      <c r="C15" s="22" t="s">
        <v>238</v>
      </c>
      <c r="D15" s="22" t="s">
        <v>66</v>
      </c>
      <c r="E15" s="13" t="s">
        <v>30</v>
      </c>
      <c r="F15" s="51" t="s">
        <v>10</v>
      </c>
      <c r="G15" s="33">
        <v>46054</v>
      </c>
      <c r="H15" s="27">
        <v>11</v>
      </c>
      <c r="I15" s="28">
        <f t="shared" si="2"/>
        <v>46065</v>
      </c>
      <c r="J15" s="69">
        <f t="shared" ref="J15:J76" ca="1" si="3">IFERROR(MAX(0,MIN(1,(TODAY()-G15)/(I15-G15))),"")</f>
        <v>1</v>
      </c>
      <c r="K15" s="85">
        <v>1</v>
      </c>
    </row>
    <row r="16" spans="1:11" ht="35.25" customHeight="1" outlineLevel="1" x14ac:dyDescent="0.3">
      <c r="A16" s="92" t="s">
        <v>13</v>
      </c>
      <c r="B16" s="17" t="s">
        <v>65</v>
      </c>
      <c r="C16" s="17" t="s">
        <v>239</v>
      </c>
      <c r="D16" s="17" t="s">
        <v>67</v>
      </c>
      <c r="E16" s="19" t="s">
        <v>16</v>
      </c>
      <c r="F16" s="52" t="s">
        <v>9</v>
      </c>
      <c r="G16" s="29">
        <f>I15</f>
        <v>46065</v>
      </c>
      <c r="H16" s="30">
        <v>24</v>
      </c>
      <c r="I16" s="29">
        <f t="shared" si="2"/>
        <v>46089</v>
      </c>
      <c r="J16" s="70">
        <f t="shared" ca="1" si="3"/>
        <v>0.75</v>
      </c>
      <c r="K16" s="86">
        <v>1</v>
      </c>
    </row>
    <row r="17" spans="1:11" ht="35.25" customHeight="1" outlineLevel="1" x14ac:dyDescent="0.3">
      <c r="A17" s="92" t="s">
        <v>13</v>
      </c>
      <c r="B17" s="17" t="s">
        <v>65</v>
      </c>
      <c r="C17" s="17" t="s">
        <v>240</v>
      </c>
      <c r="D17" s="17" t="s">
        <v>68</v>
      </c>
      <c r="E17" s="19" t="s">
        <v>16</v>
      </c>
      <c r="F17" s="52" t="s">
        <v>58</v>
      </c>
      <c r="G17" s="29">
        <f>I16</f>
        <v>46089</v>
      </c>
      <c r="H17" s="30">
        <v>7</v>
      </c>
      <c r="I17" s="29">
        <f t="shared" si="2"/>
        <v>46096</v>
      </c>
      <c r="J17" s="70">
        <f t="shared" ca="1" si="3"/>
        <v>0</v>
      </c>
      <c r="K17" s="86">
        <v>0</v>
      </c>
    </row>
    <row r="18" spans="1:11" ht="35.25" customHeight="1" outlineLevel="1" x14ac:dyDescent="0.3">
      <c r="A18" s="92" t="s">
        <v>13</v>
      </c>
      <c r="B18" s="13" t="s">
        <v>65</v>
      </c>
      <c r="C18" s="13" t="s">
        <v>241</v>
      </c>
      <c r="D18" s="13" t="s">
        <v>69</v>
      </c>
      <c r="E18" s="13" t="s">
        <v>14</v>
      </c>
      <c r="F18" s="50" t="s">
        <v>58</v>
      </c>
      <c r="G18" s="40">
        <v>46085</v>
      </c>
      <c r="H18" s="30">
        <v>14</v>
      </c>
      <c r="I18" s="29">
        <f>G18+H18</f>
        <v>46099</v>
      </c>
      <c r="J18" s="70">
        <f t="shared" ca="1" si="3"/>
        <v>0</v>
      </c>
      <c r="K18" s="86">
        <v>0</v>
      </c>
    </row>
    <row r="19" spans="1:11" ht="35.25" customHeight="1" outlineLevel="1" x14ac:dyDescent="0.3">
      <c r="A19" s="92" t="s">
        <v>13</v>
      </c>
      <c r="B19" s="13" t="s">
        <v>65</v>
      </c>
      <c r="C19" s="17" t="s">
        <v>242</v>
      </c>
      <c r="D19" s="17" t="s">
        <v>70</v>
      </c>
      <c r="E19" s="56" t="s">
        <v>297</v>
      </c>
      <c r="F19" s="50" t="s">
        <v>58</v>
      </c>
      <c r="G19" s="29">
        <f>I18</f>
        <v>46099</v>
      </c>
      <c r="H19" s="30">
        <v>14</v>
      </c>
      <c r="I19" s="29">
        <f t="shared" si="2"/>
        <v>46113</v>
      </c>
      <c r="J19" s="70">
        <f t="shared" ca="1" si="3"/>
        <v>0</v>
      </c>
      <c r="K19" s="86">
        <v>0</v>
      </c>
    </row>
    <row r="20" spans="1:11" ht="35.25" customHeight="1" outlineLevel="1" x14ac:dyDescent="0.3">
      <c r="A20" s="92" t="s">
        <v>13</v>
      </c>
      <c r="B20" s="13" t="s">
        <v>65</v>
      </c>
      <c r="C20" s="13" t="s">
        <v>249</v>
      </c>
      <c r="D20" s="13" t="s">
        <v>71</v>
      </c>
      <c r="E20" s="13" t="s">
        <v>309</v>
      </c>
      <c r="F20" s="50" t="s">
        <v>58</v>
      </c>
      <c r="G20" s="29">
        <f>I19</f>
        <v>46113</v>
      </c>
      <c r="H20" s="30">
        <v>7</v>
      </c>
      <c r="I20" s="29">
        <f t="shared" si="2"/>
        <v>46120</v>
      </c>
      <c r="J20" s="70">
        <f t="shared" ca="1" si="3"/>
        <v>0</v>
      </c>
      <c r="K20" s="86">
        <v>0</v>
      </c>
    </row>
    <row r="21" spans="1:11" ht="24.6" customHeight="1" x14ac:dyDescent="0.3">
      <c r="A21" s="63"/>
      <c r="B21" s="63" t="s">
        <v>72</v>
      </c>
      <c r="C21" s="64"/>
      <c r="D21" s="64"/>
      <c r="E21" s="64"/>
      <c r="F21" s="65"/>
      <c r="G21" s="66">
        <f>MIN(G22:G27)</f>
        <v>46054</v>
      </c>
      <c r="H21" s="67">
        <f>I21-G21</f>
        <v>66</v>
      </c>
      <c r="I21" s="66">
        <f>MAX(I22:I27)</f>
        <v>46120</v>
      </c>
      <c r="J21" s="68"/>
      <c r="K21" s="88"/>
    </row>
    <row r="22" spans="1:11" ht="35.25" customHeight="1" outlineLevel="1" x14ac:dyDescent="0.3">
      <c r="A22" s="92" t="s">
        <v>13</v>
      </c>
      <c r="B22" s="17" t="s">
        <v>72</v>
      </c>
      <c r="C22" s="13" t="s">
        <v>243</v>
      </c>
      <c r="D22" s="13" t="s">
        <v>73</v>
      </c>
      <c r="E22" s="19" t="s">
        <v>16</v>
      </c>
      <c r="F22" s="52" t="s">
        <v>9</v>
      </c>
      <c r="G22" s="34">
        <v>46054</v>
      </c>
      <c r="H22" s="35">
        <v>35</v>
      </c>
      <c r="I22" s="29">
        <f t="shared" si="2"/>
        <v>46089</v>
      </c>
      <c r="J22" s="70">
        <f t="shared" ca="1" si="3"/>
        <v>0.82857142857142863</v>
      </c>
      <c r="K22" s="86">
        <v>0.75</v>
      </c>
    </row>
    <row r="23" spans="1:11" ht="35.25" customHeight="1" outlineLevel="1" x14ac:dyDescent="0.3">
      <c r="A23" s="92" t="s">
        <v>13</v>
      </c>
      <c r="B23" s="17" t="s">
        <v>72</v>
      </c>
      <c r="C23" s="17" t="s">
        <v>244</v>
      </c>
      <c r="D23" s="17" t="s">
        <v>67</v>
      </c>
      <c r="E23" s="19" t="s">
        <v>16</v>
      </c>
      <c r="F23" s="50" t="s">
        <v>9</v>
      </c>
      <c r="G23" s="33">
        <v>46069</v>
      </c>
      <c r="H23" s="30">
        <v>24</v>
      </c>
      <c r="I23" s="29">
        <f t="shared" si="2"/>
        <v>46093</v>
      </c>
      <c r="J23" s="70">
        <f t="shared" ca="1" si="3"/>
        <v>0.58333333333333337</v>
      </c>
      <c r="K23" s="86">
        <v>1</v>
      </c>
    </row>
    <row r="24" spans="1:11" ht="35.25" customHeight="1" outlineLevel="1" x14ac:dyDescent="0.3">
      <c r="A24" s="92" t="s">
        <v>13</v>
      </c>
      <c r="B24" s="17" t="s">
        <v>72</v>
      </c>
      <c r="C24" s="17" t="s">
        <v>245</v>
      </c>
      <c r="D24" s="17" t="s">
        <v>68</v>
      </c>
      <c r="E24" s="19" t="s">
        <v>16</v>
      </c>
      <c r="F24" s="52" t="s">
        <v>58</v>
      </c>
      <c r="G24" s="29">
        <f>I23</f>
        <v>46093</v>
      </c>
      <c r="H24" s="30">
        <v>7</v>
      </c>
      <c r="I24" s="29">
        <f t="shared" si="2"/>
        <v>46100</v>
      </c>
      <c r="J24" s="70">
        <f t="shared" ca="1" si="3"/>
        <v>0</v>
      </c>
      <c r="K24" s="86">
        <v>0</v>
      </c>
    </row>
    <row r="25" spans="1:11" ht="35.25" customHeight="1" outlineLevel="1" x14ac:dyDescent="0.3">
      <c r="A25" s="92" t="s">
        <v>13</v>
      </c>
      <c r="B25" s="13" t="s">
        <v>72</v>
      </c>
      <c r="C25" s="13" t="s">
        <v>246</v>
      </c>
      <c r="D25" s="13" t="s">
        <v>74</v>
      </c>
      <c r="E25" s="13" t="s">
        <v>14</v>
      </c>
      <c r="F25" s="50" t="s">
        <v>58</v>
      </c>
      <c r="G25" s="40">
        <v>46085</v>
      </c>
      <c r="H25" s="35">
        <v>14</v>
      </c>
      <c r="I25" s="29">
        <f t="shared" si="2"/>
        <v>46099</v>
      </c>
      <c r="J25" s="70">
        <f t="shared" ca="1" si="3"/>
        <v>0</v>
      </c>
      <c r="K25" s="86">
        <v>0</v>
      </c>
    </row>
    <row r="26" spans="1:11" ht="35.25" customHeight="1" outlineLevel="1" x14ac:dyDescent="0.3">
      <c r="A26" s="92" t="s">
        <v>13</v>
      </c>
      <c r="B26" s="13" t="s">
        <v>72</v>
      </c>
      <c r="C26" s="17" t="s">
        <v>247</v>
      </c>
      <c r="D26" s="17" t="s">
        <v>75</v>
      </c>
      <c r="E26" s="13" t="s">
        <v>297</v>
      </c>
      <c r="F26" s="50" t="s">
        <v>58</v>
      </c>
      <c r="G26" s="29">
        <f>I25</f>
        <v>46099</v>
      </c>
      <c r="H26" s="30">
        <v>14</v>
      </c>
      <c r="I26" s="29">
        <f t="shared" si="2"/>
        <v>46113</v>
      </c>
      <c r="J26" s="70">
        <f t="shared" ca="1" si="3"/>
        <v>0</v>
      </c>
      <c r="K26" s="86">
        <v>0</v>
      </c>
    </row>
    <row r="27" spans="1:11" ht="35.25" customHeight="1" outlineLevel="1" x14ac:dyDescent="0.3">
      <c r="A27" s="92" t="s">
        <v>13</v>
      </c>
      <c r="B27" s="13" t="s">
        <v>72</v>
      </c>
      <c r="C27" s="13" t="s">
        <v>248</v>
      </c>
      <c r="D27" s="13" t="s">
        <v>76</v>
      </c>
      <c r="E27" s="13" t="s">
        <v>309</v>
      </c>
      <c r="F27" s="50" t="s">
        <v>58</v>
      </c>
      <c r="G27" s="29">
        <f>I26</f>
        <v>46113</v>
      </c>
      <c r="H27" s="30">
        <v>7</v>
      </c>
      <c r="I27" s="29">
        <f t="shared" si="2"/>
        <v>46120</v>
      </c>
      <c r="J27" s="70">
        <f t="shared" ca="1" si="3"/>
        <v>0</v>
      </c>
      <c r="K27" s="86">
        <v>0</v>
      </c>
    </row>
    <row r="28" spans="1:11" ht="24.6" customHeight="1" x14ac:dyDescent="0.3">
      <c r="A28" s="57"/>
      <c r="B28" s="57" t="s">
        <v>77</v>
      </c>
      <c r="C28" s="58"/>
      <c r="D28" s="58"/>
      <c r="E28" s="58"/>
      <c r="F28" s="59"/>
      <c r="G28" s="60">
        <f>MIN(G29:G31)</f>
        <v>46068</v>
      </c>
      <c r="H28" s="61">
        <f>I28-G28</f>
        <v>37</v>
      </c>
      <c r="I28" s="60">
        <f>MAX(I29:I31)</f>
        <v>46105</v>
      </c>
      <c r="J28" s="62"/>
      <c r="K28" s="87"/>
    </row>
    <row r="29" spans="1:11" ht="35.25" customHeight="1" outlineLevel="1" x14ac:dyDescent="0.3">
      <c r="A29" s="92" t="s">
        <v>13</v>
      </c>
      <c r="B29" s="13" t="s">
        <v>77</v>
      </c>
      <c r="C29" s="17" t="s">
        <v>250</v>
      </c>
      <c r="D29" s="17" t="s">
        <v>78</v>
      </c>
      <c r="E29" s="13" t="s">
        <v>20</v>
      </c>
      <c r="F29" s="52" t="s">
        <v>9</v>
      </c>
      <c r="G29" s="34">
        <v>46077</v>
      </c>
      <c r="H29" s="35">
        <v>9</v>
      </c>
      <c r="I29" s="29">
        <f t="shared" si="2"/>
        <v>46086</v>
      </c>
      <c r="J29" s="70">
        <f t="shared" ca="1" si="3"/>
        <v>0.66666666666666663</v>
      </c>
      <c r="K29" s="86">
        <v>0.8</v>
      </c>
    </row>
    <row r="30" spans="1:11" ht="35.25" customHeight="1" outlineLevel="1" x14ac:dyDescent="0.3">
      <c r="A30" s="92" t="s">
        <v>13</v>
      </c>
      <c r="B30" s="13" t="s">
        <v>77</v>
      </c>
      <c r="C30" s="17" t="s">
        <v>79</v>
      </c>
      <c r="D30" s="17" t="s">
        <v>310</v>
      </c>
      <c r="E30" s="13" t="s">
        <v>295</v>
      </c>
      <c r="F30" s="52" t="s">
        <v>9</v>
      </c>
      <c r="G30" s="40">
        <v>46068</v>
      </c>
      <c r="H30" s="35">
        <v>30</v>
      </c>
      <c r="I30" s="29">
        <f t="shared" si="2"/>
        <v>46098</v>
      </c>
      <c r="J30" s="70">
        <f t="shared" ca="1" si="3"/>
        <v>0.5</v>
      </c>
      <c r="K30" s="86">
        <v>0.4</v>
      </c>
    </row>
    <row r="31" spans="1:11" ht="35.25" customHeight="1" outlineLevel="1" x14ac:dyDescent="0.3">
      <c r="A31" s="92" t="s">
        <v>13</v>
      </c>
      <c r="B31" s="13" t="s">
        <v>77</v>
      </c>
      <c r="C31" s="13" t="s">
        <v>251</v>
      </c>
      <c r="D31" s="13" t="s">
        <v>80</v>
      </c>
      <c r="E31" s="13" t="s">
        <v>294</v>
      </c>
      <c r="F31" s="50" t="s">
        <v>58</v>
      </c>
      <c r="G31" s="29">
        <f>I30</f>
        <v>46098</v>
      </c>
      <c r="H31" s="30">
        <v>7</v>
      </c>
      <c r="I31" s="29">
        <f t="shared" si="2"/>
        <v>46105</v>
      </c>
      <c r="J31" s="70">
        <f t="shared" ca="1" si="3"/>
        <v>0</v>
      </c>
      <c r="K31" s="86">
        <v>0</v>
      </c>
    </row>
    <row r="32" spans="1:11" ht="24.6" customHeight="1" x14ac:dyDescent="0.3">
      <c r="A32" s="57"/>
      <c r="B32" s="57" t="s">
        <v>81</v>
      </c>
      <c r="C32" s="58"/>
      <c r="D32" s="58"/>
      <c r="E32" s="58"/>
      <c r="F32" s="59"/>
      <c r="G32" s="60">
        <f>MIN(G33:G36)</f>
        <v>46054</v>
      </c>
      <c r="H32" s="61">
        <f>I32-G32</f>
        <v>62</v>
      </c>
      <c r="I32" s="60">
        <f>MAX(I33:I36)</f>
        <v>46116</v>
      </c>
      <c r="J32" s="62"/>
      <c r="K32" s="87"/>
    </row>
    <row r="33" spans="1:11" ht="35.25" customHeight="1" outlineLevel="1" x14ac:dyDescent="0.3">
      <c r="A33" s="91" t="s">
        <v>13</v>
      </c>
      <c r="B33" s="22" t="s">
        <v>81</v>
      </c>
      <c r="C33" s="22" t="s">
        <v>82</v>
      </c>
      <c r="D33" s="22" t="s">
        <v>83</v>
      </c>
      <c r="E33" s="22" t="s">
        <v>26</v>
      </c>
      <c r="F33" s="51" t="s">
        <v>9</v>
      </c>
      <c r="G33" s="33">
        <v>46054</v>
      </c>
      <c r="H33" s="36">
        <v>40</v>
      </c>
      <c r="I33" s="28">
        <f t="shared" si="2"/>
        <v>46094</v>
      </c>
      <c r="J33" s="69">
        <f t="shared" ca="1" si="3"/>
        <v>0.72499999999999998</v>
      </c>
      <c r="K33" s="85">
        <v>0.6</v>
      </c>
    </row>
    <row r="34" spans="1:11" ht="35.25" customHeight="1" outlineLevel="1" x14ac:dyDescent="0.3">
      <c r="A34" s="92" t="s">
        <v>13</v>
      </c>
      <c r="B34" s="17" t="s">
        <v>81</v>
      </c>
      <c r="C34" s="17" t="s">
        <v>252</v>
      </c>
      <c r="D34" s="17" t="s">
        <v>84</v>
      </c>
      <c r="E34" s="22" t="s">
        <v>26</v>
      </c>
      <c r="F34" s="50" t="s">
        <v>9</v>
      </c>
      <c r="G34" s="33">
        <v>46055</v>
      </c>
      <c r="H34" s="35">
        <v>40</v>
      </c>
      <c r="I34" s="28">
        <f>G34+H34</f>
        <v>46095</v>
      </c>
      <c r="J34" s="70">
        <f t="shared" ca="1" si="3"/>
        <v>0.7</v>
      </c>
      <c r="K34" s="86">
        <v>0.6</v>
      </c>
    </row>
    <row r="35" spans="1:11" ht="35.25" customHeight="1" outlineLevel="1" x14ac:dyDescent="0.3">
      <c r="A35" s="92" t="s">
        <v>13</v>
      </c>
      <c r="B35" s="17" t="s">
        <v>81</v>
      </c>
      <c r="C35" s="18" t="s">
        <v>253</v>
      </c>
      <c r="D35" s="18" t="s">
        <v>85</v>
      </c>
      <c r="E35" s="14" t="s">
        <v>297</v>
      </c>
      <c r="F35" s="50" t="s">
        <v>58</v>
      </c>
      <c r="G35" s="31">
        <f>I34</f>
        <v>46095</v>
      </c>
      <c r="H35" s="37">
        <v>14</v>
      </c>
      <c r="I35" s="29">
        <f t="shared" si="2"/>
        <v>46109</v>
      </c>
      <c r="J35" s="70">
        <f t="shared" ca="1" si="3"/>
        <v>0</v>
      </c>
      <c r="K35" s="86">
        <v>0</v>
      </c>
    </row>
    <row r="36" spans="1:11" ht="35.25" customHeight="1" outlineLevel="1" x14ac:dyDescent="0.3">
      <c r="A36" s="92" t="s">
        <v>13</v>
      </c>
      <c r="B36" s="17" t="s">
        <v>81</v>
      </c>
      <c r="C36" s="13" t="s">
        <v>254</v>
      </c>
      <c r="D36" s="13" t="s">
        <v>86</v>
      </c>
      <c r="E36" s="13" t="s">
        <v>294</v>
      </c>
      <c r="F36" s="50" t="s">
        <v>58</v>
      </c>
      <c r="G36" s="29">
        <f>I35</f>
        <v>46109</v>
      </c>
      <c r="H36" s="35">
        <v>7</v>
      </c>
      <c r="I36" s="29">
        <f t="shared" si="2"/>
        <v>46116</v>
      </c>
      <c r="J36" s="70">
        <f t="shared" ca="1" si="3"/>
        <v>0</v>
      </c>
      <c r="K36" s="86">
        <v>0</v>
      </c>
    </row>
    <row r="37" spans="1:11" ht="24.6" customHeight="1" x14ac:dyDescent="0.3">
      <c r="A37" s="57"/>
      <c r="B37" s="57" t="s">
        <v>87</v>
      </c>
      <c r="C37" s="58"/>
      <c r="D37" s="58"/>
      <c r="E37" s="58"/>
      <c r="F37" s="59"/>
      <c r="G37" s="60">
        <f>MIN(G38:G46)</f>
        <v>46072</v>
      </c>
      <c r="H37" s="61">
        <f>I37-G37</f>
        <v>62</v>
      </c>
      <c r="I37" s="60">
        <f>MAX(I38:I46)</f>
        <v>46134</v>
      </c>
      <c r="J37" s="62"/>
      <c r="K37" s="87"/>
    </row>
    <row r="38" spans="1:11" ht="41.5" customHeight="1" outlineLevel="1" x14ac:dyDescent="0.3">
      <c r="A38" s="91" t="s">
        <v>13</v>
      </c>
      <c r="B38" s="21" t="s">
        <v>87</v>
      </c>
      <c r="C38" s="19" t="s">
        <v>278</v>
      </c>
      <c r="D38" s="19" t="s">
        <v>88</v>
      </c>
      <c r="E38" s="13" t="s">
        <v>309</v>
      </c>
      <c r="F38" s="49" t="s">
        <v>9</v>
      </c>
      <c r="G38" s="38">
        <v>46072</v>
      </c>
      <c r="H38" s="27">
        <v>20</v>
      </c>
      <c r="I38" s="28">
        <f t="shared" si="2"/>
        <v>46092</v>
      </c>
      <c r="J38" s="69">
        <f t="shared" ca="1" si="3"/>
        <v>0.55000000000000004</v>
      </c>
      <c r="K38" s="85">
        <v>0.25</v>
      </c>
    </row>
    <row r="39" spans="1:11" ht="40.549999999999997" customHeight="1" outlineLevel="1" x14ac:dyDescent="0.3">
      <c r="A39" s="92" t="s">
        <v>13</v>
      </c>
      <c r="B39" s="14" t="s">
        <v>87</v>
      </c>
      <c r="C39" s="13" t="s">
        <v>279</v>
      </c>
      <c r="D39" s="13" t="s">
        <v>89</v>
      </c>
      <c r="E39" s="13" t="s">
        <v>309</v>
      </c>
      <c r="F39" s="50" t="s">
        <v>9</v>
      </c>
      <c r="G39" s="39">
        <v>46072</v>
      </c>
      <c r="H39" s="30">
        <v>20</v>
      </c>
      <c r="I39" s="29">
        <f t="shared" si="2"/>
        <v>46092</v>
      </c>
      <c r="J39" s="70">
        <f t="shared" ca="1" si="3"/>
        <v>0.55000000000000004</v>
      </c>
      <c r="K39" s="85">
        <v>0.25</v>
      </c>
    </row>
    <row r="40" spans="1:11" ht="35.25" customHeight="1" outlineLevel="1" x14ac:dyDescent="0.3">
      <c r="A40" s="92" t="s">
        <v>13</v>
      </c>
      <c r="B40" s="14" t="s">
        <v>87</v>
      </c>
      <c r="C40" s="13" t="s">
        <v>280</v>
      </c>
      <c r="D40" s="13" t="s">
        <v>90</v>
      </c>
      <c r="E40" s="13" t="s">
        <v>309</v>
      </c>
      <c r="F40" s="50" t="s">
        <v>9</v>
      </c>
      <c r="G40" s="39">
        <v>46072</v>
      </c>
      <c r="H40" s="30">
        <v>20</v>
      </c>
      <c r="I40" s="29">
        <f t="shared" si="2"/>
        <v>46092</v>
      </c>
      <c r="J40" s="70">
        <f t="shared" ca="1" si="3"/>
        <v>0.55000000000000004</v>
      </c>
      <c r="K40" s="85">
        <v>0.25</v>
      </c>
    </row>
    <row r="41" spans="1:11" ht="35.25" customHeight="1" outlineLevel="1" x14ac:dyDescent="0.3">
      <c r="A41" s="92" t="s">
        <v>13</v>
      </c>
      <c r="B41" s="14" t="s">
        <v>87</v>
      </c>
      <c r="C41" s="13" t="s">
        <v>281</v>
      </c>
      <c r="D41" s="13" t="s">
        <v>303</v>
      </c>
      <c r="E41" s="13" t="s">
        <v>297</v>
      </c>
      <c r="F41" s="50" t="s">
        <v>9</v>
      </c>
      <c r="G41" s="39">
        <v>46077</v>
      </c>
      <c r="H41" s="30">
        <v>14</v>
      </c>
      <c r="I41" s="29">
        <f t="shared" si="2"/>
        <v>46091</v>
      </c>
      <c r="J41" s="70">
        <f t="shared" ca="1" si="3"/>
        <v>0.42857142857142855</v>
      </c>
      <c r="K41" s="85">
        <v>0.25</v>
      </c>
    </row>
    <row r="42" spans="1:11" ht="35.25" customHeight="1" outlineLevel="1" x14ac:dyDescent="0.3">
      <c r="A42" s="92" t="s">
        <v>13</v>
      </c>
      <c r="B42" s="14" t="s">
        <v>87</v>
      </c>
      <c r="C42" s="13" t="s">
        <v>282</v>
      </c>
      <c r="D42" s="13" t="s">
        <v>91</v>
      </c>
      <c r="E42" s="19" t="s">
        <v>16</v>
      </c>
      <c r="F42" s="50" t="s">
        <v>9</v>
      </c>
      <c r="G42" s="39">
        <v>46072</v>
      </c>
      <c r="H42" s="30">
        <v>14</v>
      </c>
      <c r="I42" s="29">
        <f t="shared" si="2"/>
        <v>46086</v>
      </c>
      <c r="J42" s="70">
        <f t="shared" ca="1" si="3"/>
        <v>0.7857142857142857</v>
      </c>
      <c r="K42" s="85">
        <v>0.25</v>
      </c>
    </row>
    <row r="43" spans="1:11" ht="35.25" customHeight="1" outlineLevel="1" x14ac:dyDescent="0.3">
      <c r="A43" s="93" t="s">
        <v>13</v>
      </c>
      <c r="B43" s="14" t="s">
        <v>87</v>
      </c>
      <c r="C43" s="14" t="s">
        <v>283</v>
      </c>
      <c r="D43" s="15" t="s">
        <v>92</v>
      </c>
      <c r="E43" s="19" t="s">
        <v>307</v>
      </c>
      <c r="F43" s="53" t="s">
        <v>9</v>
      </c>
      <c r="G43" s="39">
        <v>46072</v>
      </c>
      <c r="H43" s="32">
        <v>14</v>
      </c>
      <c r="I43" s="29">
        <f>G43+H43</f>
        <v>46086</v>
      </c>
      <c r="J43" s="70">
        <f t="shared" ca="1" si="3"/>
        <v>0.7857142857142857</v>
      </c>
      <c r="K43" s="85">
        <v>0.25</v>
      </c>
    </row>
    <row r="44" spans="1:11" ht="35.25" customHeight="1" outlineLevel="1" x14ac:dyDescent="0.3">
      <c r="A44" s="92" t="s">
        <v>13</v>
      </c>
      <c r="B44" s="14" t="s">
        <v>87</v>
      </c>
      <c r="C44" s="12" t="s">
        <v>93</v>
      </c>
      <c r="D44" s="12" t="s">
        <v>94</v>
      </c>
      <c r="E44" s="13" t="s">
        <v>309</v>
      </c>
      <c r="F44" s="54" t="s">
        <v>9</v>
      </c>
      <c r="G44" s="39">
        <v>46072</v>
      </c>
      <c r="H44" s="32">
        <v>42</v>
      </c>
      <c r="I44" s="29">
        <f>G44+H44</f>
        <v>46114</v>
      </c>
      <c r="J44" s="70">
        <f t="shared" ca="1" si="3"/>
        <v>0.26190476190476192</v>
      </c>
      <c r="K44" s="85">
        <v>0.25</v>
      </c>
    </row>
    <row r="45" spans="1:11" ht="35.25" customHeight="1" outlineLevel="1" x14ac:dyDescent="0.3">
      <c r="A45" s="92" t="s">
        <v>13</v>
      </c>
      <c r="B45" s="14" t="s">
        <v>87</v>
      </c>
      <c r="C45" s="12" t="s">
        <v>95</v>
      </c>
      <c r="D45" s="12" t="s">
        <v>96</v>
      </c>
      <c r="E45" s="13" t="s">
        <v>309</v>
      </c>
      <c r="F45" s="54" t="s">
        <v>9</v>
      </c>
      <c r="G45" s="39">
        <v>46072</v>
      </c>
      <c r="H45" s="32">
        <v>42</v>
      </c>
      <c r="I45" s="29">
        <f>G45+H45</f>
        <v>46114</v>
      </c>
      <c r="J45" s="70">
        <f t="shared" ca="1" si="3"/>
        <v>0.26190476190476192</v>
      </c>
      <c r="K45" s="85">
        <v>0.25</v>
      </c>
    </row>
    <row r="46" spans="1:11" ht="35.25" customHeight="1" outlineLevel="1" x14ac:dyDescent="0.3">
      <c r="A46" s="93" t="s">
        <v>13</v>
      </c>
      <c r="B46" s="14" t="s">
        <v>87</v>
      </c>
      <c r="C46" s="15" t="s">
        <v>284</v>
      </c>
      <c r="D46" s="15" t="s">
        <v>97</v>
      </c>
      <c r="E46" s="13" t="s">
        <v>294</v>
      </c>
      <c r="F46" s="50" t="s">
        <v>58</v>
      </c>
      <c r="G46" s="31">
        <f>MAX(I38:I45)</f>
        <v>46114</v>
      </c>
      <c r="H46" s="32">
        <v>20</v>
      </c>
      <c r="I46" s="31">
        <f>G46+H46</f>
        <v>46134</v>
      </c>
      <c r="J46" s="71">
        <f t="shared" ca="1" si="3"/>
        <v>0</v>
      </c>
      <c r="K46" s="86">
        <v>0</v>
      </c>
    </row>
    <row r="47" spans="1:11" ht="24.6" customHeight="1" x14ac:dyDescent="0.3">
      <c r="A47" s="57"/>
      <c r="B47" s="57" t="s">
        <v>98</v>
      </c>
      <c r="C47" s="58"/>
      <c r="D47" s="58"/>
      <c r="E47" s="58"/>
      <c r="F47" s="59"/>
      <c r="G47" s="60">
        <f>MIN(G48:G56)</f>
        <v>46061</v>
      </c>
      <c r="H47" s="61">
        <f>I47-G47</f>
        <v>100</v>
      </c>
      <c r="I47" s="60">
        <f>MAX(I48:I56)</f>
        <v>46161</v>
      </c>
      <c r="J47" s="62"/>
      <c r="K47" s="87"/>
    </row>
    <row r="48" spans="1:11" ht="33.200000000000003" customHeight="1" outlineLevel="1" x14ac:dyDescent="0.3">
      <c r="A48" s="92" t="s">
        <v>13</v>
      </c>
      <c r="B48" s="13" t="s">
        <v>98</v>
      </c>
      <c r="C48" s="13" t="s">
        <v>99</v>
      </c>
      <c r="D48" s="13" t="s">
        <v>100</v>
      </c>
      <c r="E48" s="13" t="s">
        <v>309</v>
      </c>
      <c r="F48" s="50" t="s">
        <v>10</v>
      </c>
      <c r="G48" s="40">
        <v>46061</v>
      </c>
      <c r="H48" s="30">
        <v>1</v>
      </c>
      <c r="I48" s="29">
        <f>G48+H48</f>
        <v>46062</v>
      </c>
      <c r="J48" s="70">
        <f t="shared" ca="1" si="3"/>
        <v>1</v>
      </c>
      <c r="K48" s="86">
        <v>1</v>
      </c>
    </row>
    <row r="49" spans="1:11" ht="33.200000000000003" customHeight="1" outlineLevel="1" x14ac:dyDescent="0.3">
      <c r="A49" s="92" t="s">
        <v>13</v>
      </c>
      <c r="B49" s="13" t="s">
        <v>98</v>
      </c>
      <c r="C49" s="13" t="s">
        <v>101</v>
      </c>
      <c r="D49" s="13" t="s">
        <v>102</v>
      </c>
      <c r="E49" s="13" t="s">
        <v>309</v>
      </c>
      <c r="F49" s="50" t="s">
        <v>10</v>
      </c>
      <c r="G49" s="40">
        <v>46070</v>
      </c>
      <c r="H49" s="30">
        <v>1</v>
      </c>
      <c r="I49" s="29">
        <f t="shared" ref="I49:I56" si="4">G49+H49</f>
        <v>46071</v>
      </c>
      <c r="J49" s="70">
        <f t="shared" ref="J49:J56" ca="1" si="5">IFERROR(MAX(0,MIN(1,(TODAY()-G49)/(I49-G49))),"")</f>
        <v>1</v>
      </c>
      <c r="K49" s="86">
        <v>1</v>
      </c>
    </row>
    <row r="50" spans="1:11" ht="33.200000000000003" customHeight="1" outlineLevel="1" x14ac:dyDescent="0.3">
      <c r="A50" s="92" t="s">
        <v>13</v>
      </c>
      <c r="B50" s="13" t="s">
        <v>98</v>
      </c>
      <c r="C50" s="13" t="s">
        <v>103</v>
      </c>
      <c r="D50" s="13" t="s">
        <v>104</v>
      </c>
      <c r="E50" s="13" t="s">
        <v>309</v>
      </c>
      <c r="F50" s="50" t="s">
        <v>58</v>
      </c>
      <c r="G50" s="40">
        <v>46086</v>
      </c>
      <c r="H50" s="30">
        <v>1</v>
      </c>
      <c r="I50" s="29">
        <f t="shared" si="4"/>
        <v>46087</v>
      </c>
      <c r="J50" s="70">
        <f t="shared" ca="1" si="5"/>
        <v>0</v>
      </c>
      <c r="K50" s="86">
        <v>0</v>
      </c>
    </row>
    <row r="51" spans="1:11" ht="33.200000000000003" customHeight="1" outlineLevel="1" x14ac:dyDescent="0.3">
      <c r="A51" s="92" t="s">
        <v>13</v>
      </c>
      <c r="B51" s="13" t="s">
        <v>98</v>
      </c>
      <c r="C51" s="13" t="s">
        <v>255</v>
      </c>
      <c r="D51" s="13" t="s">
        <v>105</v>
      </c>
      <c r="E51" s="13" t="s">
        <v>309</v>
      </c>
      <c r="F51" s="50" t="s">
        <v>9</v>
      </c>
      <c r="G51" s="40">
        <v>46076</v>
      </c>
      <c r="H51" s="30">
        <v>14</v>
      </c>
      <c r="I51" s="29">
        <f t="shared" si="4"/>
        <v>46090</v>
      </c>
      <c r="J51" s="70">
        <f t="shared" ca="1" si="5"/>
        <v>0.5</v>
      </c>
      <c r="K51" s="86">
        <v>0.2</v>
      </c>
    </row>
    <row r="52" spans="1:11" ht="33.200000000000003" customHeight="1" outlineLevel="1" x14ac:dyDescent="0.3">
      <c r="A52" s="92" t="s">
        <v>13</v>
      </c>
      <c r="B52" s="13" t="s">
        <v>98</v>
      </c>
      <c r="C52" s="13" t="s">
        <v>256</v>
      </c>
      <c r="D52" s="13" t="s">
        <v>106</v>
      </c>
      <c r="E52" s="13" t="s">
        <v>309</v>
      </c>
      <c r="F52" s="50" t="s">
        <v>58</v>
      </c>
      <c r="G52" s="29">
        <f>I51</f>
        <v>46090</v>
      </c>
      <c r="H52" s="30">
        <v>7</v>
      </c>
      <c r="I52" s="29">
        <f t="shared" si="4"/>
        <v>46097</v>
      </c>
      <c r="J52" s="70">
        <f t="shared" ca="1" si="5"/>
        <v>0</v>
      </c>
      <c r="K52" s="86">
        <v>0</v>
      </c>
    </row>
    <row r="53" spans="1:11" ht="33.200000000000003" customHeight="1" outlineLevel="1" x14ac:dyDescent="0.3">
      <c r="A53" s="92" t="s">
        <v>13</v>
      </c>
      <c r="B53" s="13" t="s">
        <v>98</v>
      </c>
      <c r="C53" s="13" t="s">
        <v>257</v>
      </c>
      <c r="D53" s="13" t="s">
        <v>107</v>
      </c>
      <c r="E53" s="13" t="s">
        <v>309</v>
      </c>
      <c r="F53" s="50" t="s">
        <v>9</v>
      </c>
      <c r="G53" s="40">
        <v>46076</v>
      </c>
      <c r="H53" s="30">
        <v>14</v>
      </c>
      <c r="I53" s="29">
        <f t="shared" si="4"/>
        <v>46090</v>
      </c>
      <c r="J53" s="70">
        <f t="shared" ca="1" si="5"/>
        <v>0.5</v>
      </c>
      <c r="K53" s="86">
        <v>0.2</v>
      </c>
    </row>
    <row r="54" spans="1:11" ht="33.200000000000003" customHeight="1" outlineLevel="1" x14ac:dyDescent="0.3">
      <c r="A54" s="92" t="s">
        <v>13</v>
      </c>
      <c r="B54" s="13" t="s">
        <v>98</v>
      </c>
      <c r="C54" s="13" t="s">
        <v>258</v>
      </c>
      <c r="D54" s="13" t="s">
        <v>106</v>
      </c>
      <c r="E54" s="13" t="s">
        <v>309</v>
      </c>
      <c r="F54" s="50" t="s">
        <v>58</v>
      </c>
      <c r="G54" s="29">
        <f>I53</f>
        <v>46090</v>
      </c>
      <c r="H54" s="30">
        <v>7</v>
      </c>
      <c r="I54" s="29">
        <f t="shared" si="4"/>
        <v>46097</v>
      </c>
      <c r="J54" s="70">
        <f t="shared" ca="1" si="5"/>
        <v>0</v>
      </c>
      <c r="K54" s="86">
        <v>0</v>
      </c>
    </row>
    <row r="55" spans="1:11" ht="33.200000000000003" customHeight="1" outlineLevel="1" x14ac:dyDescent="0.3">
      <c r="A55" s="20" t="s">
        <v>13</v>
      </c>
      <c r="B55" s="13" t="s">
        <v>98</v>
      </c>
      <c r="C55" s="13" t="s">
        <v>108</v>
      </c>
      <c r="D55" s="13" t="s">
        <v>109</v>
      </c>
      <c r="E55" s="13" t="s">
        <v>36</v>
      </c>
      <c r="F55" s="50" t="s">
        <v>58</v>
      </c>
      <c r="G55" s="43">
        <v>46155</v>
      </c>
      <c r="H55" s="30">
        <v>1</v>
      </c>
      <c r="I55" s="29">
        <f t="shared" si="4"/>
        <v>46156</v>
      </c>
      <c r="J55" s="70">
        <f t="shared" ca="1" si="5"/>
        <v>0</v>
      </c>
      <c r="K55" s="86">
        <v>0</v>
      </c>
    </row>
    <row r="56" spans="1:11" ht="33.200000000000003" customHeight="1" outlineLevel="1" x14ac:dyDescent="0.3">
      <c r="A56" s="92" t="s">
        <v>13</v>
      </c>
      <c r="B56" s="13" t="s">
        <v>98</v>
      </c>
      <c r="C56" s="13" t="s">
        <v>110</v>
      </c>
      <c r="D56" s="12" t="s">
        <v>111</v>
      </c>
      <c r="E56" s="13" t="s">
        <v>31</v>
      </c>
      <c r="F56" s="50" t="s">
        <v>58</v>
      </c>
      <c r="G56" s="29">
        <f>I55</f>
        <v>46156</v>
      </c>
      <c r="H56" s="30">
        <v>5</v>
      </c>
      <c r="I56" s="29">
        <f t="shared" si="4"/>
        <v>46161</v>
      </c>
      <c r="J56" s="70">
        <f t="shared" ca="1" si="5"/>
        <v>0</v>
      </c>
      <c r="K56" s="86">
        <v>0</v>
      </c>
    </row>
    <row r="57" spans="1:11" ht="24.6" customHeight="1" x14ac:dyDescent="0.3">
      <c r="A57" s="57"/>
      <c r="B57" s="57" t="s">
        <v>112</v>
      </c>
      <c r="C57" s="58"/>
      <c r="D57" s="58"/>
      <c r="E57" s="58"/>
      <c r="F57" s="59"/>
      <c r="G57" s="60">
        <f>MIN(G58:G76)</f>
        <v>46082</v>
      </c>
      <c r="H57" s="61">
        <f>I57-G57</f>
        <v>148</v>
      </c>
      <c r="I57" s="60">
        <f>MAX(I58:I76)</f>
        <v>46230</v>
      </c>
      <c r="J57" s="62"/>
      <c r="K57" s="87"/>
    </row>
    <row r="58" spans="1:11" ht="43.85" customHeight="1" outlineLevel="1" x14ac:dyDescent="0.3">
      <c r="A58" s="17" t="s">
        <v>112</v>
      </c>
      <c r="B58" s="20" t="s">
        <v>17</v>
      </c>
      <c r="C58" s="13" t="s">
        <v>113</v>
      </c>
      <c r="D58" s="13" t="s">
        <v>305</v>
      </c>
      <c r="E58" s="13" t="s">
        <v>295</v>
      </c>
      <c r="F58" s="50" t="s">
        <v>9</v>
      </c>
      <c r="G58" s="40">
        <v>46082</v>
      </c>
      <c r="H58" s="30">
        <v>14</v>
      </c>
      <c r="I58" s="29">
        <f t="shared" ref="I58:I86" si="6">G58+H58</f>
        <v>46096</v>
      </c>
      <c r="J58" s="70">
        <f t="shared" ca="1" si="3"/>
        <v>7.1428571428571425E-2</v>
      </c>
      <c r="K58" s="86">
        <v>0</v>
      </c>
    </row>
    <row r="59" spans="1:11" ht="37.9" customHeight="1" outlineLevel="1" x14ac:dyDescent="0.3">
      <c r="A59" s="17" t="s">
        <v>112</v>
      </c>
      <c r="B59" s="20" t="s">
        <v>17</v>
      </c>
      <c r="C59" s="13" t="s">
        <v>114</v>
      </c>
      <c r="D59" s="13" t="s">
        <v>115</v>
      </c>
      <c r="E59" s="13" t="s">
        <v>290</v>
      </c>
      <c r="F59" s="50" t="s">
        <v>58</v>
      </c>
      <c r="G59" s="29">
        <f>I58</f>
        <v>46096</v>
      </c>
      <c r="H59" s="30">
        <v>7</v>
      </c>
      <c r="I59" s="29">
        <f t="shared" si="6"/>
        <v>46103</v>
      </c>
      <c r="J59" s="70">
        <f t="shared" ca="1" si="3"/>
        <v>0</v>
      </c>
      <c r="K59" s="86">
        <v>0</v>
      </c>
    </row>
    <row r="60" spans="1:11" ht="37.9" customHeight="1" outlineLevel="1" x14ac:dyDescent="0.3">
      <c r="A60" s="17" t="s">
        <v>112</v>
      </c>
      <c r="B60" s="20" t="s">
        <v>17</v>
      </c>
      <c r="C60" s="13" t="s">
        <v>116</v>
      </c>
      <c r="D60" s="12" t="s">
        <v>117</v>
      </c>
      <c r="E60" s="13" t="s">
        <v>20</v>
      </c>
      <c r="F60" s="50" t="s">
        <v>58</v>
      </c>
      <c r="G60" s="40">
        <v>46096</v>
      </c>
      <c r="H60" s="30">
        <v>14</v>
      </c>
      <c r="I60" s="29">
        <f t="shared" si="6"/>
        <v>46110</v>
      </c>
      <c r="J60" s="70">
        <f t="shared" ca="1" si="3"/>
        <v>0</v>
      </c>
      <c r="K60" s="86">
        <v>0</v>
      </c>
    </row>
    <row r="61" spans="1:11" ht="45.1" customHeight="1" outlineLevel="1" x14ac:dyDescent="0.3">
      <c r="A61" s="17" t="s">
        <v>112</v>
      </c>
      <c r="B61" s="20" t="s">
        <v>17</v>
      </c>
      <c r="C61" s="13" t="s">
        <v>119</v>
      </c>
      <c r="D61" s="13" t="s">
        <v>298</v>
      </c>
      <c r="E61" s="17" t="s">
        <v>20</v>
      </c>
      <c r="F61" s="50" t="s">
        <v>9</v>
      </c>
      <c r="G61" s="40">
        <v>46082</v>
      </c>
      <c r="H61" s="30">
        <v>14</v>
      </c>
      <c r="I61" s="29">
        <f t="shared" si="6"/>
        <v>46096</v>
      </c>
      <c r="J61" s="70">
        <f t="shared" ca="1" si="3"/>
        <v>7.1428571428571425E-2</v>
      </c>
      <c r="K61" s="86">
        <v>0</v>
      </c>
    </row>
    <row r="62" spans="1:11" ht="41.35" customHeight="1" outlineLevel="1" x14ac:dyDescent="0.3">
      <c r="A62" s="13" t="s">
        <v>112</v>
      </c>
      <c r="B62" s="20" t="s">
        <v>17</v>
      </c>
      <c r="C62" s="13" t="s">
        <v>120</v>
      </c>
      <c r="D62" s="13" t="s">
        <v>121</v>
      </c>
      <c r="E62" s="17" t="s">
        <v>31</v>
      </c>
      <c r="F62" s="50" t="s">
        <v>58</v>
      </c>
      <c r="G62" s="40">
        <v>46114</v>
      </c>
      <c r="H62" s="30">
        <v>7</v>
      </c>
      <c r="I62" s="29">
        <f t="shared" ref="I62" si="7">G62+H62</f>
        <v>46121</v>
      </c>
      <c r="J62" s="70">
        <f t="shared" ref="J62" ca="1" si="8">IFERROR(MAX(0,MIN(1,(TODAY()-G62)/(I62-G62))),"")</f>
        <v>0</v>
      </c>
      <c r="K62" s="86">
        <v>0</v>
      </c>
    </row>
    <row r="63" spans="1:11" ht="41.65" customHeight="1" outlineLevel="1" x14ac:dyDescent="0.3">
      <c r="A63" s="17" t="s">
        <v>112</v>
      </c>
      <c r="B63" s="20" t="s">
        <v>17</v>
      </c>
      <c r="C63" s="13" t="s">
        <v>122</v>
      </c>
      <c r="D63" s="13" t="s">
        <v>299</v>
      </c>
      <c r="E63" s="13" t="s">
        <v>20</v>
      </c>
      <c r="F63" s="50" t="s">
        <v>58</v>
      </c>
      <c r="G63" s="40">
        <v>46114</v>
      </c>
      <c r="H63" s="30">
        <v>14</v>
      </c>
      <c r="I63" s="29">
        <f t="shared" si="6"/>
        <v>46128</v>
      </c>
      <c r="J63" s="70">
        <f t="shared" ca="1" si="3"/>
        <v>0</v>
      </c>
      <c r="K63" s="86">
        <v>0</v>
      </c>
    </row>
    <row r="64" spans="1:11" ht="37.9" customHeight="1" outlineLevel="1" x14ac:dyDescent="0.3">
      <c r="A64" s="17" t="s">
        <v>112</v>
      </c>
      <c r="B64" s="20" t="s">
        <v>17</v>
      </c>
      <c r="C64" s="13" t="s">
        <v>123</v>
      </c>
      <c r="D64" s="13" t="s">
        <v>124</v>
      </c>
      <c r="E64" s="13" t="s">
        <v>20</v>
      </c>
      <c r="F64" s="50" t="s">
        <v>58</v>
      </c>
      <c r="G64" s="40">
        <v>46142</v>
      </c>
      <c r="H64" s="30">
        <v>14</v>
      </c>
      <c r="I64" s="29">
        <f t="shared" si="6"/>
        <v>46156</v>
      </c>
      <c r="J64" s="70">
        <f t="shared" ca="1" si="3"/>
        <v>0</v>
      </c>
      <c r="K64" s="86">
        <v>0</v>
      </c>
    </row>
    <row r="65" spans="1:11" ht="43.2" customHeight="1" outlineLevel="1" x14ac:dyDescent="0.3">
      <c r="A65" s="17" t="s">
        <v>112</v>
      </c>
      <c r="B65" s="20" t="s">
        <v>17</v>
      </c>
      <c r="C65" s="13" t="s">
        <v>125</v>
      </c>
      <c r="D65" s="13" t="s">
        <v>300</v>
      </c>
      <c r="E65" s="13" t="s">
        <v>20</v>
      </c>
      <c r="F65" s="50" t="s">
        <v>58</v>
      </c>
      <c r="G65" s="34">
        <v>46114</v>
      </c>
      <c r="H65" s="30">
        <v>14</v>
      </c>
      <c r="I65" s="29">
        <f>G65+H65</f>
        <v>46128</v>
      </c>
      <c r="J65" s="70">
        <f t="shared" ca="1" si="3"/>
        <v>0</v>
      </c>
      <c r="K65" s="86">
        <v>0</v>
      </c>
    </row>
    <row r="66" spans="1:11" ht="37.9" customHeight="1" outlineLevel="1" x14ac:dyDescent="0.3">
      <c r="A66" s="17" t="s">
        <v>112</v>
      </c>
      <c r="B66" s="20" t="s">
        <v>15</v>
      </c>
      <c r="C66" s="13" t="s">
        <v>126</v>
      </c>
      <c r="D66" s="13" t="s">
        <v>127</v>
      </c>
      <c r="E66" s="13" t="s">
        <v>297</v>
      </c>
      <c r="F66" s="50" t="s">
        <v>58</v>
      </c>
      <c r="G66" s="40">
        <v>46127</v>
      </c>
      <c r="H66" s="30">
        <v>7</v>
      </c>
      <c r="I66" s="29">
        <f t="shared" si="6"/>
        <v>46134</v>
      </c>
      <c r="J66" s="70">
        <f t="shared" ca="1" si="3"/>
        <v>0</v>
      </c>
      <c r="K66" s="86">
        <v>0</v>
      </c>
    </row>
    <row r="67" spans="1:11" ht="37.9" customHeight="1" outlineLevel="1" x14ac:dyDescent="0.3">
      <c r="A67" s="17" t="s">
        <v>112</v>
      </c>
      <c r="B67" s="20" t="s">
        <v>15</v>
      </c>
      <c r="C67" s="13" t="s">
        <v>128</v>
      </c>
      <c r="D67" s="13" t="s">
        <v>129</v>
      </c>
      <c r="E67" s="13" t="s">
        <v>297</v>
      </c>
      <c r="F67" s="50" t="s">
        <v>58</v>
      </c>
      <c r="G67" s="40">
        <v>46127</v>
      </c>
      <c r="H67" s="30">
        <v>7</v>
      </c>
      <c r="I67" s="29">
        <f t="shared" si="6"/>
        <v>46134</v>
      </c>
      <c r="J67" s="70">
        <f t="shared" ca="1" si="3"/>
        <v>0</v>
      </c>
      <c r="K67" s="86">
        <v>0</v>
      </c>
    </row>
    <row r="68" spans="1:11" ht="37.9" customHeight="1" outlineLevel="1" x14ac:dyDescent="0.3">
      <c r="A68" s="17" t="s">
        <v>112</v>
      </c>
      <c r="B68" s="20" t="s">
        <v>15</v>
      </c>
      <c r="C68" s="13" t="s">
        <v>130</v>
      </c>
      <c r="D68" s="13" t="s">
        <v>131</v>
      </c>
      <c r="E68" s="13" t="s">
        <v>297</v>
      </c>
      <c r="F68" s="50" t="s">
        <v>58</v>
      </c>
      <c r="G68" s="29">
        <f>I56</f>
        <v>46161</v>
      </c>
      <c r="H68" s="30">
        <v>60</v>
      </c>
      <c r="I68" s="29">
        <f t="shared" si="6"/>
        <v>46221</v>
      </c>
      <c r="J68" s="70">
        <f t="shared" ca="1" si="3"/>
        <v>0</v>
      </c>
      <c r="K68" s="86">
        <v>0</v>
      </c>
    </row>
    <row r="69" spans="1:11" ht="37.9" customHeight="1" outlineLevel="1" x14ac:dyDescent="0.3">
      <c r="A69" s="17" t="s">
        <v>112</v>
      </c>
      <c r="B69" s="20" t="s">
        <v>17</v>
      </c>
      <c r="C69" s="13" t="s">
        <v>259</v>
      </c>
      <c r="D69" s="13" t="s">
        <v>301</v>
      </c>
      <c r="E69" s="13" t="s">
        <v>20</v>
      </c>
      <c r="F69" s="50" t="s">
        <v>58</v>
      </c>
      <c r="G69" s="34">
        <v>46114</v>
      </c>
      <c r="H69" s="30">
        <v>14</v>
      </c>
      <c r="I69" s="29">
        <f t="shared" si="6"/>
        <v>46128</v>
      </c>
      <c r="J69" s="70">
        <f t="shared" ca="1" si="3"/>
        <v>0</v>
      </c>
      <c r="K69" s="86">
        <v>0</v>
      </c>
    </row>
    <row r="70" spans="1:11" ht="37.9" customHeight="1" outlineLevel="1" x14ac:dyDescent="0.3">
      <c r="A70" s="17" t="s">
        <v>112</v>
      </c>
      <c r="B70" s="20" t="s">
        <v>17</v>
      </c>
      <c r="C70" s="13" t="s">
        <v>260</v>
      </c>
      <c r="D70" s="13" t="s">
        <v>132</v>
      </c>
      <c r="E70" s="13" t="s">
        <v>295</v>
      </c>
      <c r="F70" s="50" t="s">
        <v>58</v>
      </c>
      <c r="G70" s="40">
        <v>46127</v>
      </c>
      <c r="H70" s="30">
        <v>21</v>
      </c>
      <c r="I70" s="29">
        <f t="shared" si="6"/>
        <v>46148</v>
      </c>
      <c r="J70" s="70">
        <f t="shared" ca="1" si="3"/>
        <v>0</v>
      </c>
      <c r="K70" s="86">
        <v>0</v>
      </c>
    </row>
    <row r="71" spans="1:11" ht="37.9" customHeight="1" outlineLevel="1" x14ac:dyDescent="0.3">
      <c r="A71" s="17" t="s">
        <v>112</v>
      </c>
      <c r="B71" s="20" t="s">
        <v>17</v>
      </c>
      <c r="C71" s="13" t="s">
        <v>261</v>
      </c>
      <c r="D71" s="13" t="s">
        <v>133</v>
      </c>
      <c r="E71" s="13" t="s">
        <v>295</v>
      </c>
      <c r="F71" s="50" t="s">
        <v>58</v>
      </c>
      <c r="G71" s="29">
        <f>I70</f>
        <v>46148</v>
      </c>
      <c r="H71" s="30">
        <v>21</v>
      </c>
      <c r="I71" s="29">
        <f t="shared" si="6"/>
        <v>46169</v>
      </c>
      <c r="J71" s="70">
        <f t="shared" ca="1" si="3"/>
        <v>0</v>
      </c>
      <c r="K71" s="86">
        <v>0</v>
      </c>
    </row>
    <row r="72" spans="1:11" ht="37.9" customHeight="1" outlineLevel="1" x14ac:dyDescent="0.3">
      <c r="A72" s="17" t="s">
        <v>112</v>
      </c>
      <c r="B72" s="20" t="s">
        <v>15</v>
      </c>
      <c r="C72" s="13" t="s">
        <v>134</v>
      </c>
      <c r="D72" s="13" t="s">
        <v>304</v>
      </c>
      <c r="E72" s="13" t="s">
        <v>297</v>
      </c>
      <c r="F72" s="50" t="s">
        <v>58</v>
      </c>
      <c r="G72" s="29">
        <f>I68</f>
        <v>46221</v>
      </c>
      <c r="H72" s="30">
        <v>1</v>
      </c>
      <c r="I72" s="29">
        <f t="shared" si="6"/>
        <v>46222</v>
      </c>
      <c r="J72" s="70">
        <f t="shared" ca="1" si="3"/>
        <v>0</v>
      </c>
      <c r="K72" s="86">
        <v>0</v>
      </c>
    </row>
    <row r="73" spans="1:11" ht="37.9" customHeight="1" outlineLevel="1" x14ac:dyDescent="0.3">
      <c r="A73" s="17" t="s">
        <v>112</v>
      </c>
      <c r="B73" s="20" t="s">
        <v>17</v>
      </c>
      <c r="C73" s="13" t="s">
        <v>135</v>
      </c>
      <c r="D73" s="13" t="s">
        <v>136</v>
      </c>
      <c r="E73" s="17" t="s">
        <v>20</v>
      </c>
      <c r="F73" s="50" t="s">
        <v>58</v>
      </c>
      <c r="G73" s="29">
        <f>I72</f>
        <v>46222</v>
      </c>
      <c r="H73" s="30">
        <v>2</v>
      </c>
      <c r="I73" s="29">
        <f t="shared" si="6"/>
        <v>46224</v>
      </c>
      <c r="J73" s="70">
        <f t="shared" ca="1" si="3"/>
        <v>0</v>
      </c>
      <c r="K73" s="86">
        <v>0</v>
      </c>
    </row>
    <row r="74" spans="1:11" ht="37.9" customHeight="1" outlineLevel="1" x14ac:dyDescent="0.3">
      <c r="A74" s="17" t="s">
        <v>112</v>
      </c>
      <c r="B74" s="20" t="s">
        <v>17</v>
      </c>
      <c r="C74" s="13" t="s">
        <v>262</v>
      </c>
      <c r="D74" s="13" t="s">
        <v>224</v>
      </c>
      <c r="E74" s="13" t="s">
        <v>295</v>
      </c>
      <c r="F74" s="50" t="s">
        <v>58</v>
      </c>
      <c r="G74" s="29">
        <f>I73</f>
        <v>46224</v>
      </c>
      <c r="H74" s="30">
        <v>3</v>
      </c>
      <c r="I74" s="29">
        <f t="shared" si="6"/>
        <v>46227</v>
      </c>
      <c r="J74" s="70">
        <f t="shared" ca="1" si="3"/>
        <v>0</v>
      </c>
      <c r="K74" s="86">
        <v>0</v>
      </c>
    </row>
    <row r="75" spans="1:11" ht="37.9" customHeight="1" outlineLevel="1" x14ac:dyDescent="0.3">
      <c r="A75" s="17" t="s">
        <v>112</v>
      </c>
      <c r="B75" s="20" t="s">
        <v>17</v>
      </c>
      <c r="C75" s="13" t="s">
        <v>263</v>
      </c>
      <c r="D75" s="13" t="s">
        <v>222</v>
      </c>
      <c r="E75" s="13" t="s">
        <v>36</v>
      </c>
      <c r="F75" s="50" t="s">
        <v>58</v>
      </c>
      <c r="G75" s="29">
        <f>I73</f>
        <v>46224</v>
      </c>
      <c r="H75" s="30">
        <v>3</v>
      </c>
      <c r="I75" s="29">
        <f t="shared" si="6"/>
        <v>46227</v>
      </c>
      <c r="J75" s="70">
        <f t="shared" ca="1" si="3"/>
        <v>0</v>
      </c>
      <c r="K75" s="86">
        <v>0</v>
      </c>
    </row>
    <row r="76" spans="1:11" ht="40.85" customHeight="1" outlineLevel="1" x14ac:dyDescent="0.3">
      <c r="A76" s="17" t="s">
        <v>112</v>
      </c>
      <c r="B76" s="20" t="s">
        <v>17</v>
      </c>
      <c r="C76" s="13" t="s">
        <v>137</v>
      </c>
      <c r="D76" s="13" t="s">
        <v>138</v>
      </c>
      <c r="E76" s="13" t="s">
        <v>295</v>
      </c>
      <c r="F76" s="50" t="s">
        <v>58</v>
      </c>
      <c r="G76" s="29">
        <f>I74</f>
        <v>46227</v>
      </c>
      <c r="H76" s="30">
        <v>3</v>
      </c>
      <c r="I76" s="29">
        <f t="shared" si="6"/>
        <v>46230</v>
      </c>
      <c r="J76" s="70">
        <f t="shared" ca="1" si="3"/>
        <v>0</v>
      </c>
      <c r="K76" s="86">
        <v>0</v>
      </c>
    </row>
    <row r="77" spans="1:11" ht="24.6" customHeight="1" x14ac:dyDescent="0.3">
      <c r="A77" s="57"/>
      <c r="B77" s="57" t="s">
        <v>139</v>
      </c>
      <c r="C77" s="58"/>
      <c r="D77" s="58"/>
      <c r="E77" s="58"/>
      <c r="F77" s="59"/>
      <c r="G77" s="60">
        <f>MIN(G78:G86)</f>
        <v>46230</v>
      </c>
      <c r="H77" s="61">
        <f>I77-G77</f>
        <v>14</v>
      </c>
      <c r="I77" s="60">
        <f>MAX(I78:I86)</f>
        <v>46244</v>
      </c>
      <c r="J77" s="62"/>
      <c r="K77" s="87"/>
    </row>
    <row r="78" spans="1:11" ht="35.25" customHeight="1" outlineLevel="1" x14ac:dyDescent="0.3">
      <c r="A78" s="22" t="s">
        <v>139</v>
      </c>
      <c r="B78" s="84" t="s">
        <v>223</v>
      </c>
      <c r="C78" s="19" t="s">
        <v>140</v>
      </c>
      <c r="D78" s="19" t="s">
        <v>141</v>
      </c>
      <c r="E78" s="19" t="s">
        <v>287</v>
      </c>
      <c r="F78" s="50" t="s">
        <v>58</v>
      </c>
      <c r="G78" s="28">
        <f>I76</f>
        <v>46230</v>
      </c>
      <c r="H78" s="27">
        <v>7</v>
      </c>
      <c r="I78" s="28">
        <f t="shared" si="6"/>
        <v>46237</v>
      </c>
      <c r="J78" s="69">
        <f t="shared" ref="J78:J129" ca="1" si="9">IFERROR(MAX(0,MIN(1,(TODAY()-G78)/(I78-G78))),"")</f>
        <v>0</v>
      </c>
      <c r="K78" s="86">
        <v>0</v>
      </c>
    </row>
    <row r="79" spans="1:11" ht="35.25" customHeight="1" outlineLevel="1" x14ac:dyDescent="0.3">
      <c r="A79" s="17" t="s">
        <v>139</v>
      </c>
      <c r="B79" s="20" t="s">
        <v>15</v>
      </c>
      <c r="C79" s="13" t="s">
        <v>142</v>
      </c>
      <c r="D79" s="13" t="s">
        <v>143</v>
      </c>
      <c r="E79" s="13" t="s">
        <v>32</v>
      </c>
      <c r="F79" s="50" t="s">
        <v>58</v>
      </c>
      <c r="G79" s="29">
        <f>I76</f>
        <v>46230</v>
      </c>
      <c r="H79" s="30">
        <v>7</v>
      </c>
      <c r="I79" s="29">
        <f t="shared" si="6"/>
        <v>46237</v>
      </c>
      <c r="J79" s="70">
        <f t="shared" ca="1" si="9"/>
        <v>0</v>
      </c>
      <c r="K79" s="86">
        <v>0</v>
      </c>
    </row>
    <row r="80" spans="1:11" ht="35.25" customHeight="1" outlineLevel="1" x14ac:dyDescent="0.3">
      <c r="A80" s="17" t="s">
        <v>139</v>
      </c>
      <c r="B80" s="20" t="s">
        <v>15</v>
      </c>
      <c r="C80" s="13" t="s">
        <v>144</v>
      </c>
      <c r="D80" s="13" t="s">
        <v>145</v>
      </c>
      <c r="E80" s="13" t="s">
        <v>32</v>
      </c>
      <c r="F80" s="50" t="s">
        <v>58</v>
      </c>
      <c r="G80" s="29">
        <f>I76</f>
        <v>46230</v>
      </c>
      <c r="H80" s="30">
        <v>14</v>
      </c>
      <c r="I80" s="29">
        <f t="shared" si="6"/>
        <v>46244</v>
      </c>
      <c r="J80" s="70">
        <f t="shared" ca="1" si="9"/>
        <v>0</v>
      </c>
      <c r="K80" s="86">
        <v>0</v>
      </c>
    </row>
    <row r="81" spans="1:11" ht="35.25" customHeight="1" outlineLevel="1" x14ac:dyDescent="0.3">
      <c r="A81" s="17" t="s">
        <v>139</v>
      </c>
      <c r="B81" s="20" t="s">
        <v>223</v>
      </c>
      <c r="C81" s="13" t="s">
        <v>146</v>
      </c>
      <c r="D81" s="13" t="s">
        <v>147</v>
      </c>
      <c r="E81" s="13" t="s">
        <v>287</v>
      </c>
      <c r="F81" s="50" t="s">
        <v>58</v>
      </c>
      <c r="G81" s="29">
        <f>I76</f>
        <v>46230</v>
      </c>
      <c r="H81" s="30">
        <v>7</v>
      </c>
      <c r="I81" s="29">
        <f t="shared" si="6"/>
        <v>46237</v>
      </c>
      <c r="J81" s="70">
        <f t="shared" ca="1" si="9"/>
        <v>0</v>
      </c>
      <c r="K81" s="86">
        <v>0</v>
      </c>
    </row>
    <row r="82" spans="1:11" ht="35.25" customHeight="1" outlineLevel="1" x14ac:dyDescent="0.3">
      <c r="A82" s="17" t="s">
        <v>139</v>
      </c>
      <c r="B82" s="20" t="s">
        <v>23</v>
      </c>
      <c r="C82" s="13" t="s">
        <v>148</v>
      </c>
      <c r="D82" s="13" t="s">
        <v>149</v>
      </c>
      <c r="E82" s="22" t="s">
        <v>26</v>
      </c>
      <c r="F82" s="50" t="s">
        <v>58</v>
      </c>
      <c r="G82" s="29">
        <f>I76</f>
        <v>46230</v>
      </c>
      <c r="H82" s="30">
        <v>7</v>
      </c>
      <c r="I82" s="29">
        <f t="shared" si="6"/>
        <v>46237</v>
      </c>
      <c r="J82" s="70">
        <f t="shared" ca="1" si="9"/>
        <v>0</v>
      </c>
      <c r="K82" s="86">
        <v>0</v>
      </c>
    </row>
    <row r="83" spans="1:11" ht="35.25" customHeight="1" outlineLevel="1" x14ac:dyDescent="0.3">
      <c r="A83" s="17" t="s">
        <v>139</v>
      </c>
      <c r="B83" s="20" t="s">
        <v>223</v>
      </c>
      <c r="C83" s="13" t="s">
        <v>150</v>
      </c>
      <c r="D83" s="13" t="s">
        <v>151</v>
      </c>
      <c r="E83" s="13" t="s">
        <v>287</v>
      </c>
      <c r="F83" s="50" t="s">
        <v>58</v>
      </c>
      <c r="G83" s="29">
        <f>I76</f>
        <v>46230</v>
      </c>
      <c r="H83" s="30">
        <v>7</v>
      </c>
      <c r="I83" s="29">
        <f t="shared" si="6"/>
        <v>46237</v>
      </c>
      <c r="J83" s="70">
        <f ca="1">IFERROR(MAX(0,MIN(1,(TODAY()-G83)/(I83-G83))),"")</f>
        <v>0</v>
      </c>
      <c r="K83" s="86">
        <v>0</v>
      </c>
    </row>
    <row r="84" spans="1:11" ht="37.9" customHeight="1" outlineLevel="1" x14ac:dyDescent="0.3">
      <c r="A84" s="17" t="s">
        <v>139</v>
      </c>
      <c r="B84" s="20" t="s">
        <v>223</v>
      </c>
      <c r="C84" s="13" t="s">
        <v>152</v>
      </c>
      <c r="D84" s="13" t="s">
        <v>153</v>
      </c>
      <c r="E84" s="13" t="s">
        <v>287</v>
      </c>
      <c r="F84" s="50" t="s">
        <v>58</v>
      </c>
      <c r="G84" s="29">
        <f>I76</f>
        <v>46230</v>
      </c>
      <c r="H84" s="30">
        <v>14</v>
      </c>
      <c r="I84" s="29">
        <f t="shared" si="6"/>
        <v>46244</v>
      </c>
      <c r="J84" s="70">
        <f t="shared" ca="1" si="9"/>
        <v>0</v>
      </c>
      <c r="K84" s="86">
        <v>0</v>
      </c>
    </row>
    <row r="85" spans="1:11" ht="35.25" customHeight="1" outlineLevel="1" x14ac:dyDescent="0.3">
      <c r="A85" s="17" t="s">
        <v>139</v>
      </c>
      <c r="B85" s="20" t="s">
        <v>23</v>
      </c>
      <c r="C85" s="13" t="s">
        <v>154</v>
      </c>
      <c r="D85" s="13" t="s">
        <v>155</v>
      </c>
      <c r="E85" s="22" t="s">
        <v>26</v>
      </c>
      <c r="F85" s="50" t="s">
        <v>58</v>
      </c>
      <c r="G85" s="29">
        <f>I76</f>
        <v>46230</v>
      </c>
      <c r="H85" s="30">
        <v>14</v>
      </c>
      <c r="I85" s="29">
        <f t="shared" si="6"/>
        <v>46244</v>
      </c>
      <c r="J85" s="70">
        <f t="shared" ca="1" si="9"/>
        <v>0</v>
      </c>
      <c r="K85" s="86">
        <v>0</v>
      </c>
    </row>
    <row r="86" spans="1:11" ht="35.25" customHeight="1" outlineLevel="1" x14ac:dyDescent="0.3">
      <c r="A86" s="17" t="s">
        <v>139</v>
      </c>
      <c r="B86" s="20" t="s">
        <v>25</v>
      </c>
      <c r="C86" s="13" t="s">
        <v>156</v>
      </c>
      <c r="D86" s="13" t="s">
        <v>157</v>
      </c>
      <c r="E86" s="17" t="s">
        <v>24</v>
      </c>
      <c r="F86" s="50" t="s">
        <v>58</v>
      </c>
      <c r="G86" s="29">
        <f>I76</f>
        <v>46230</v>
      </c>
      <c r="H86" s="30">
        <v>14</v>
      </c>
      <c r="I86" s="29">
        <f t="shared" si="6"/>
        <v>46244</v>
      </c>
      <c r="J86" s="70">
        <f t="shared" ca="1" si="9"/>
        <v>0</v>
      </c>
      <c r="K86" s="86">
        <v>0</v>
      </c>
    </row>
    <row r="87" spans="1:11" ht="24.6" customHeight="1" x14ac:dyDescent="0.3">
      <c r="A87" s="57"/>
      <c r="B87" s="57" t="s">
        <v>118</v>
      </c>
      <c r="C87" s="58"/>
      <c r="D87" s="58"/>
      <c r="E87" s="58"/>
      <c r="F87" s="59"/>
      <c r="G87" s="60">
        <f>MIN(G88:G92)</f>
        <v>46161</v>
      </c>
      <c r="H87" s="61">
        <f>I87-G87</f>
        <v>97</v>
      </c>
      <c r="I87" s="60">
        <f>MAX(I88:I92)</f>
        <v>46258</v>
      </c>
      <c r="J87" s="62"/>
      <c r="K87" s="87"/>
    </row>
    <row r="88" spans="1:11" ht="35.25" customHeight="1" outlineLevel="1" x14ac:dyDescent="0.3">
      <c r="A88" s="22" t="s">
        <v>118</v>
      </c>
      <c r="B88" s="20" t="s">
        <v>17</v>
      </c>
      <c r="C88" s="19" t="s">
        <v>158</v>
      </c>
      <c r="D88" s="19" t="s">
        <v>159</v>
      </c>
      <c r="E88" s="19" t="s">
        <v>20</v>
      </c>
      <c r="F88" s="50" t="s">
        <v>58</v>
      </c>
      <c r="G88" s="28">
        <f>I56</f>
        <v>46161</v>
      </c>
      <c r="H88" s="27">
        <v>21</v>
      </c>
      <c r="I88" s="28">
        <f t="shared" ref="I88" si="10">G88+H88</f>
        <v>46182</v>
      </c>
      <c r="J88" s="69">
        <f t="shared" ref="J88" ca="1" si="11">IFERROR(MAX(0,MIN(1,(TODAY()-G88)/(I88-G88))),"")</f>
        <v>0</v>
      </c>
      <c r="K88" s="86">
        <v>0</v>
      </c>
    </row>
    <row r="89" spans="1:11" ht="35.25" customHeight="1" outlineLevel="1" x14ac:dyDescent="0.3">
      <c r="A89" s="22" t="s">
        <v>118</v>
      </c>
      <c r="B89" s="20" t="s">
        <v>17</v>
      </c>
      <c r="C89" s="19" t="s">
        <v>160</v>
      </c>
      <c r="D89" s="19" t="s">
        <v>161</v>
      </c>
      <c r="E89" s="19" t="s">
        <v>288</v>
      </c>
      <c r="F89" s="50" t="s">
        <v>58</v>
      </c>
      <c r="G89" s="28">
        <f>I88</f>
        <v>46182</v>
      </c>
      <c r="H89" s="27">
        <v>14</v>
      </c>
      <c r="I89" s="28">
        <f t="shared" ref="I89:I91" si="12">G89+H89</f>
        <v>46196</v>
      </c>
      <c r="J89" s="69">
        <f t="shared" ca="1" si="9"/>
        <v>0</v>
      </c>
      <c r="K89" s="86">
        <v>0</v>
      </c>
    </row>
    <row r="90" spans="1:11" ht="35.25" customHeight="1" outlineLevel="1" x14ac:dyDescent="0.3">
      <c r="A90" s="17" t="s">
        <v>118</v>
      </c>
      <c r="B90" s="20" t="s">
        <v>17</v>
      </c>
      <c r="C90" s="13" t="s">
        <v>162</v>
      </c>
      <c r="D90" s="13" t="s">
        <v>302</v>
      </c>
      <c r="E90" s="13" t="s">
        <v>20</v>
      </c>
      <c r="F90" s="50" t="s">
        <v>58</v>
      </c>
      <c r="G90" s="29">
        <f>I76-7</f>
        <v>46223</v>
      </c>
      <c r="H90" s="30">
        <v>7</v>
      </c>
      <c r="I90" s="29">
        <f>G90+H90</f>
        <v>46230</v>
      </c>
      <c r="J90" s="70">
        <f t="shared" ca="1" si="9"/>
        <v>0</v>
      </c>
      <c r="K90" s="86">
        <v>0</v>
      </c>
    </row>
    <row r="91" spans="1:11" ht="35.25" customHeight="1" outlineLevel="1" x14ac:dyDescent="0.3">
      <c r="A91" s="18" t="s">
        <v>118</v>
      </c>
      <c r="B91" s="20" t="s">
        <v>17</v>
      </c>
      <c r="C91" s="14" t="s">
        <v>163</v>
      </c>
      <c r="D91" s="14" t="s">
        <v>164</v>
      </c>
      <c r="E91" s="19" t="s">
        <v>20</v>
      </c>
      <c r="F91" s="50" t="s">
        <v>58</v>
      </c>
      <c r="G91" s="31">
        <f>G90+H90</f>
        <v>46230</v>
      </c>
      <c r="H91" s="32">
        <v>7</v>
      </c>
      <c r="I91" s="31">
        <f t="shared" si="12"/>
        <v>46237</v>
      </c>
      <c r="J91" s="71">
        <f t="shared" ref="J91" ca="1" si="13">IFERROR(MAX(0,MIN(1,(TODAY()-G91)/(I91-G91))),"")</f>
        <v>0</v>
      </c>
      <c r="K91" s="86">
        <v>0</v>
      </c>
    </row>
    <row r="92" spans="1:11" ht="35.25" customHeight="1" outlineLevel="1" x14ac:dyDescent="0.3">
      <c r="A92" s="17" t="s">
        <v>118</v>
      </c>
      <c r="B92" s="20" t="s">
        <v>17</v>
      </c>
      <c r="C92" s="13" t="s">
        <v>165</v>
      </c>
      <c r="D92" s="13" t="s">
        <v>166</v>
      </c>
      <c r="E92" s="19" t="s">
        <v>308</v>
      </c>
      <c r="F92" s="50" t="s">
        <v>58</v>
      </c>
      <c r="G92" s="29">
        <f>I91</f>
        <v>46237</v>
      </c>
      <c r="H92" s="30">
        <v>21</v>
      </c>
      <c r="I92" s="29">
        <f t="shared" ref="I92" si="14">G92+H92</f>
        <v>46258</v>
      </c>
      <c r="J92" s="70">
        <f t="shared" ca="1" si="9"/>
        <v>0</v>
      </c>
      <c r="K92" s="86">
        <v>0</v>
      </c>
    </row>
    <row r="93" spans="1:11" ht="24.6" customHeight="1" x14ac:dyDescent="0.3">
      <c r="A93" s="57"/>
      <c r="B93" s="57" t="s">
        <v>167</v>
      </c>
      <c r="C93" s="58"/>
      <c r="D93" s="58"/>
      <c r="E93" s="58"/>
      <c r="F93" s="59"/>
      <c r="G93" s="60">
        <f>MIN(G94:G133)</f>
        <v>46070</v>
      </c>
      <c r="H93" s="61">
        <f>I93-G93</f>
        <v>195</v>
      </c>
      <c r="I93" s="60">
        <f>MAX(I94:I133)</f>
        <v>46265</v>
      </c>
      <c r="J93" s="62"/>
      <c r="K93" s="87"/>
    </row>
    <row r="94" spans="1:11" ht="35.25" customHeight="1" outlineLevel="1" x14ac:dyDescent="0.3">
      <c r="A94" s="92" t="s">
        <v>167</v>
      </c>
      <c r="B94" s="13" t="s">
        <v>19</v>
      </c>
      <c r="C94" s="13" t="s">
        <v>286</v>
      </c>
      <c r="D94" s="13" t="s">
        <v>168</v>
      </c>
      <c r="E94" s="19" t="s">
        <v>16</v>
      </c>
      <c r="F94" s="50" t="s">
        <v>58</v>
      </c>
      <c r="G94" s="40">
        <v>46117</v>
      </c>
      <c r="H94" s="30">
        <v>21</v>
      </c>
      <c r="I94" s="29">
        <f t="shared" ref="I94:I133" si="15">G94+H94</f>
        <v>46138</v>
      </c>
      <c r="J94" s="70">
        <f ca="1">IFERROR(MAX(0,MIN(1,(TODAY()-G94)/(I94-G94))),"")</f>
        <v>0</v>
      </c>
      <c r="K94" s="86">
        <v>0</v>
      </c>
    </row>
    <row r="95" spans="1:11" ht="35.25" customHeight="1" outlineLevel="1" x14ac:dyDescent="0.3">
      <c r="A95" s="92" t="s">
        <v>167</v>
      </c>
      <c r="B95" s="13" t="s">
        <v>19</v>
      </c>
      <c r="C95" s="13" t="s">
        <v>285</v>
      </c>
      <c r="D95" s="42" t="s">
        <v>169</v>
      </c>
      <c r="E95" s="19" t="s">
        <v>16</v>
      </c>
      <c r="F95" s="50" t="s">
        <v>58</v>
      </c>
      <c r="G95" s="40">
        <v>46117</v>
      </c>
      <c r="H95" s="30">
        <v>14</v>
      </c>
      <c r="I95" s="29">
        <f>G95+H95</f>
        <v>46131</v>
      </c>
      <c r="J95" s="70">
        <f ca="1">IFERROR(MAX(0,MIN(1,(TODAY()-G95)/(I95-G95))),"")</f>
        <v>0</v>
      </c>
      <c r="K95" s="86">
        <v>0</v>
      </c>
    </row>
    <row r="96" spans="1:11" ht="35.25" customHeight="1" outlineLevel="1" x14ac:dyDescent="0.3">
      <c r="A96" s="92" t="s">
        <v>167</v>
      </c>
      <c r="B96" s="13" t="s">
        <v>19</v>
      </c>
      <c r="C96" s="13" t="s">
        <v>264</v>
      </c>
      <c r="D96" s="13" t="s">
        <v>170</v>
      </c>
      <c r="E96" s="19" t="s">
        <v>16</v>
      </c>
      <c r="F96" s="50" t="s">
        <v>58</v>
      </c>
      <c r="G96" s="29">
        <f>I95</f>
        <v>46131</v>
      </c>
      <c r="H96" s="30">
        <v>14</v>
      </c>
      <c r="I96" s="29">
        <f>G96+H96</f>
        <v>46145</v>
      </c>
      <c r="J96" s="70">
        <f ca="1">IFERROR(MAX(0,MIN(1,(TODAY()-G96)/(I96-G96))),"")</f>
        <v>0</v>
      </c>
      <c r="K96" s="86">
        <v>0</v>
      </c>
    </row>
    <row r="97" spans="1:11" ht="35.25" customHeight="1" outlineLevel="1" x14ac:dyDescent="0.3">
      <c r="A97" s="92" t="s">
        <v>167</v>
      </c>
      <c r="B97" s="13" t="s">
        <v>19</v>
      </c>
      <c r="C97" s="13" t="s">
        <v>265</v>
      </c>
      <c r="D97" s="42" t="s">
        <v>171</v>
      </c>
      <c r="E97" s="13" t="s">
        <v>33</v>
      </c>
      <c r="F97" s="50" t="s">
        <v>58</v>
      </c>
      <c r="G97" s="40">
        <v>46117</v>
      </c>
      <c r="H97" s="30">
        <v>14</v>
      </c>
      <c r="I97" s="29">
        <f t="shared" si="15"/>
        <v>46131</v>
      </c>
      <c r="J97" s="70">
        <f t="shared" ref="J97:J103" ca="1" si="16">IFERROR(MAX(0,MIN(1,(TODAY()-G97)/(I97-G97))),"")</f>
        <v>0</v>
      </c>
      <c r="K97" s="86">
        <v>0</v>
      </c>
    </row>
    <row r="98" spans="1:11" ht="35.25" customHeight="1" outlineLevel="1" x14ac:dyDescent="0.3">
      <c r="A98" s="92" t="s">
        <v>167</v>
      </c>
      <c r="B98" s="13" t="s">
        <v>19</v>
      </c>
      <c r="C98" s="13" t="s">
        <v>172</v>
      </c>
      <c r="D98" s="42" t="s">
        <v>173</v>
      </c>
      <c r="E98" s="13" t="s">
        <v>33</v>
      </c>
      <c r="F98" s="50" t="s">
        <v>58</v>
      </c>
      <c r="G98" s="29">
        <f>I97</f>
        <v>46131</v>
      </c>
      <c r="H98" s="30">
        <v>60</v>
      </c>
      <c r="I98" s="29">
        <f t="shared" si="15"/>
        <v>46191</v>
      </c>
      <c r="J98" s="70">
        <f t="shared" ca="1" si="16"/>
        <v>0</v>
      </c>
      <c r="K98" s="86">
        <v>0</v>
      </c>
    </row>
    <row r="99" spans="1:11" ht="35.25" customHeight="1" outlineLevel="1" x14ac:dyDescent="0.3">
      <c r="A99" s="92" t="s">
        <v>167</v>
      </c>
      <c r="B99" s="13" t="s">
        <v>19</v>
      </c>
      <c r="C99" s="17" t="s">
        <v>174</v>
      </c>
      <c r="D99" s="41" t="s">
        <v>175</v>
      </c>
      <c r="E99" s="19" t="s">
        <v>16</v>
      </c>
      <c r="F99" s="50" t="s">
        <v>58</v>
      </c>
      <c r="G99" s="29">
        <v>46183</v>
      </c>
      <c r="H99" s="30">
        <v>14</v>
      </c>
      <c r="I99" s="29">
        <f t="shared" ref="I99:I105" si="17">G99+H99</f>
        <v>46197</v>
      </c>
      <c r="J99" s="70">
        <f t="shared" ca="1" si="16"/>
        <v>0</v>
      </c>
      <c r="K99" s="86">
        <v>0</v>
      </c>
    </row>
    <row r="100" spans="1:11" ht="35.25" customHeight="1" outlineLevel="1" x14ac:dyDescent="0.3">
      <c r="A100" s="92" t="s">
        <v>167</v>
      </c>
      <c r="B100" s="19" t="s">
        <v>19</v>
      </c>
      <c r="C100" s="19" t="s">
        <v>176</v>
      </c>
      <c r="D100" s="19" t="s">
        <v>177</v>
      </c>
      <c r="E100" s="19" t="s">
        <v>34</v>
      </c>
      <c r="F100" s="50" t="s">
        <v>58</v>
      </c>
      <c r="G100" s="28">
        <f>I76</f>
        <v>46230</v>
      </c>
      <c r="H100" s="27">
        <v>21</v>
      </c>
      <c r="I100" s="28">
        <f t="shared" si="17"/>
        <v>46251</v>
      </c>
      <c r="J100" s="69">
        <f t="shared" ca="1" si="16"/>
        <v>0</v>
      </c>
      <c r="K100" s="86">
        <v>0</v>
      </c>
    </row>
    <row r="101" spans="1:11" ht="35.25" customHeight="1" outlineLevel="1" x14ac:dyDescent="0.3">
      <c r="A101" s="92" t="s">
        <v>167</v>
      </c>
      <c r="B101" s="13" t="s">
        <v>19</v>
      </c>
      <c r="C101" s="13" t="s">
        <v>178</v>
      </c>
      <c r="D101" s="13" t="s">
        <v>179</v>
      </c>
      <c r="E101" s="19" t="s">
        <v>34</v>
      </c>
      <c r="F101" s="50" t="s">
        <v>58</v>
      </c>
      <c r="G101" s="29">
        <f>I76</f>
        <v>46230</v>
      </c>
      <c r="H101" s="30">
        <v>7</v>
      </c>
      <c r="I101" s="29">
        <f t="shared" si="17"/>
        <v>46237</v>
      </c>
      <c r="J101" s="70">
        <f t="shared" ca="1" si="16"/>
        <v>0</v>
      </c>
      <c r="K101" s="86">
        <v>0</v>
      </c>
    </row>
    <row r="102" spans="1:11" ht="35.25" customHeight="1" outlineLevel="1" x14ac:dyDescent="0.3">
      <c r="A102" s="92" t="s">
        <v>167</v>
      </c>
      <c r="B102" s="13" t="s">
        <v>19</v>
      </c>
      <c r="C102" s="13" t="s">
        <v>180</v>
      </c>
      <c r="D102" s="13" t="s">
        <v>181</v>
      </c>
      <c r="E102" s="19" t="s">
        <v>16</v>
      </c>
      <c r="F102" s="50" t="s">
        <v>58</v>
      </c>
      <c r="G102" s="29">
        <f>I10</f>
        <v>46096</v>
      </c>
      <c r="H102" s="30">
        <v>7</v>
      </c>
      <c r="I102" s="29">
        <f t="shared" si="17"/>
        <v>46103</v>
      </c>
      <c r="J102" s="70">
        <f t="shared" ca="1" si="16"/>
        <v>0</v>
      </c>
      <c r="K102" s="86">
        <v>0</v>
      </c>
    </row>
    <row r="103" spans="1:11" ht="35.25" customHeight="1" outlineLevel="1" x14ac:dyDescent="0.3">
      <c r="A103" s="92" t="s">
        <v>167</v>
      </c>
      <c r="B103" s="13" t="s">
        <v>19</v>
      </c>
      <c r="C103" s="13" t="s">
        <v>182</v>
      </c>
      <c r="D103" s="13" t="s">
        <v>183</v>
      </c>
      <c r="E103" s="19" t="s">
        <v>307</v>
      </c>
      <c r="F103" s="50" t="s">
        <v>58</v>
      </c>
      <c r="G103" s="29">
        <f>I100</f>
        <v>46251</v>
      </c>
      <c r="H103" s="30">
        <v>14</v>
      </c>
      <c r="I103" s="29">
        <f t="shared" si="17"/>
        <v>46265</v>
      </c>
      <c r="J103" s="70">
        <f t="shared" ca="1" si="16"/>
        <v>0</v>
      </c>
      <c r="K103" s="86">
        <v>0</v>
      </c>
    </row>
    <row r="104" spans="1:11" ht="37.9" customHeight="1" outlineLevel="1" x14ac:dyDescent="0.3">
      <c r="A104" s="92" t="s">
        <v>167</v>
      </c>
      <c r="B104" s="13" t="s">
        <v>21</v>
      </c>
      <c r="C104" s="13" t="s">
        <v>266</v>
      </c>
      <c r="D104" s="13" t="s">
        <v>312</v>
      </c>
      <c r="E104" s="13" t="s">
        <v>18</v>
      </c>
      <c r="F104" s="55" t="s">
        <v>9</v>
      </c>
      <c r="G104" s="40">
        <v>46070</v>
      </c>
      <c r="H104" s="30">
        <v>14</v>
      </c>
      <c r="I104" s="29">
        <f t="shared" si="17"/>
        <v>46084</v>
      </c>
      <c r="J104" s="70">
        <f ca="1">IFERROR(MAX(0,MIN(1,(TODAY()-G104)/(I104-G104))),"")</f>
        <v>0.9285714285714286</v>
      </c>
      <c r="K104" s="86">
        <v>0.3</v>
      </c>
    </row>
    <row r="105" spans="1:11" ht="37.9" customHeight="1" outlineLevel="1" x14ac:dyDescent="0.3">
      <c r="A105" s="92" t="s">
        <v>167</v>
      </c>
      <c r="B105" s="13" t="s">
        <v>21</v>
      </c>
      <c r="C105" s="13" t="s">
        <v>267</v>
      </c>
      <c r="D105" s="13" t="s">
        <v>184</v>
      </c>
      <c r="E105" s="13" t="s">
        <v>18</v>
      </c>
      <c r="F105" s="50" t="s">
        <v>58</v>
      </c>
      <c r="G105" s="29">
        <f>I104</f>
        <v>46084</v>
      </c>
      <c r="H105" s="30">
        <v>14</v>
      </c>
      <c r="I105" s="29">
        <f t="shared" si="17"/>
        <v>46098</v>
      </c>
      <c r="J105" s="70">
        <f ca="1">IFERROR(MAX(0,MIN(1,(TODAY()-G105)/(I105-G105))),"")</f>
        <v>0</v>
      </c>
      <c r="K105" s="86">
        <v>0</v>
      </c>
    </row>
    <row r="106" spans="1:11" ht="35.25" customHeight="1" outlineLevel="1" x14ac:dyDescent="0.3">
      <c r="A106" s="92" t="s">
        <v>167</v>
      </c>
      <c r="B106" s="13" t="s">
        <v>21</v>
      </c>
      <c r="C106" s="13" t="s">
        <v>268</v>
      </c>
      <c r="D106" s="13" t="s">
        <v>185</v>
      </c>
      <c r="E106" s="13" t="s">
        <v>18</v>
      </c>
      <c r="F106" s="50" t="s">
        <v>58</v>
      </c>
      <c r="G106" s="29">
        <f>I105</f>
        <v>46098</v>
      </c>
      <c r="H106" s="30">
        <v>30</v>
      </c>
      <c r="I106" s="29">
        <f t="shared" ref="I106" si="18">G106+H106</f>
        <v>46128</v>
      </c>
      <c r="J106" s="70">
        <f t="shared" ref="J106" ca="1" si="19">IFERROR(MAX(0,MIN(1,(TODAY()-G106)/(I106-G106))),"")</f>
        <v>0</v>
      </c>
      <c r="K106" s="86">
        <v>0</v>
      </c>
    </row>
    <row r="107" spans="1:11" ht="37.9" customHeight="1" outlineLevel="1" x14ac:dyDescent="0.3">
      <c r="A107" s="92" t="s">
        <v>167</v>
      </c>
      <c r="B107" s="13" t="s">
        <v>21</v>
      </c>
      <c r="C107" s="13" t="s">
        <v>269</v>
      </c>
      <c r="D107" s="13" t="s">
        <v>186</v>
      </c>
      <c r="E107" s="13" t="s">
        <v>18</v>
      </c>
      <c r="F107" s="50" t="s">
        <v>58</v>
      </c>
      <c r="G107" s="29">
        <f>I105</f>
        <v>46098</v>
      </c>
      <c r="H107" s="30">
        <v>90</v>
      </c>
      <c r="I107" s="29">
        <f>G107+H107</f>
        <v>46188</v>
      </c>
      <c r="J107" s="70">
        <f ca="1">IFERROR(MAX(0,MIN(1,(TODAY()-G107)/(I107-G107))),"")</f>
        <v>0</v>
      </c>
      <c r="K107" s="86">
        <v>0</v>
      </c>
    </row>
    <row r="108" spans="1:11" ht="35.25" customHeight="1" outlineLevel="1" x14ac:dyDescent="0.3">
      <c r="A108" s="92" t="s">
        <v>167</v>
      </c>
      <c r="B108" s="13" t="s">
        <v>21</v>
      </c>
      <c r="C108" s="13" t="s">
        <v>270</v>
      </c>
      <c r="D108" s="13" t="s">
        <v>187</v>
      </c>
      <c r="E108" s="13" t="s">
        <v>18</v>
      </c>
      <c r="F108" s="50" t="s">
        <v>58</v>
      </c>
      <c r="G108" s="29">
        <f>I107</f>
        <v>46188</v>
      </c>
      <c r="H108" s="30">
        <v>3</v>
      </c>
      <c r="I108" s="29">
        <f>G108+H108</f>
        <v>46191</v>
      </c>
      <c r="J108" s="70">
        <f ca="1">IFERROR(MAX(0,MIN(1,(TODAY()-G108)/(I108-G108))),"")</f>
        <v>0</v>
      </c>
      <c r="K108" s="86">
        <v>0</v>
      </c>
    </row>
    <row r="109" spans="1:11" ht="35.25" customHeight="1" outlineLevel="1" x14ac:dyDescent="0.3">
      <c r="A109" s="92" t="s">
        <v>167</v>
      </c>
      <c r="B109" s="13" t="s">
        <v>21</v>
      </c>
      <c r="C109" s="13" t="s">
        <v>188</v>
      </c>
      <c r="D109" s="13" t="s">
        <v>189</v>
      </c>
      <c r="E109" s="13" t="s">
        <v>18</v>
      </c>
      <c r="F109" s="50" t="s">
        <v>58</v>
      </c>
      <c r="G109" s="29">
        <f>I108</f>
        <v>46191</v>
      </c>
      <c r="H109" s="30">
        <v>7</v>
      </c>
      <c r="I109" s="29">
        <f>G109+H109</f>
        <v>46198</v>
      </c>
      <c r="J109" s="70">
        <f ca="1">IFERROR(MAX(0,MIN(1,(TODAY()-G109)/(I109-G109))),"")</f>
        <v>0</v>
      </c>
      <c r="K109" s="86">
        <v>0</v>
      </c>
    </row>
    <row r="110" spans="1:11" ht="35.25" customHeight="1" outlineLevel="1" x14ac:dyDescent="0.3">
      <c r="A110" s="92" t="s">
        <v>167</v>
      </c>
      <c r="B110" s="13" t="s">
        <v>21</v>
      </c>
      <c r="C110" s="13" t="s">
        <v>271</v>
      </c>
      <c r="D110" s="13" t="s">
        <v>190</v>
      </c>
      <c r="E110" s="13" t="s">
        <v>18</v>
      </c>
      <c r="F110" s="50" t="s">
        <v>58</v>
      </c>
      <c r="G110" s="29">
        <f>I105</f>
        <v>46098</v>
      </c>
      <c r="H110" s="30">
        <v>60</v>
      </c>
      <c r="I110" s="29">
        <f t="shared" si="15"/>
        <v>46158</v>
      </c>
      <c r="J110" s="70">
        <f t="shared" ca="1" si="9"/>
        <v>0</v>
      </c>
      <c r="K110" s="86">
        <v>0</v>
      </c>
    </row>
    <row r="111" spans="1:11" ht="35.25" customHeight="1" outlineLevel="1" x14ac:dyDescent="0.3">
      <c r="A111" s="92" t="s">
        <v>167</v>
      </c>
      <c r="B111" s="13" t="s">
        <v>21</v>
      </c>
      <c r="C111" s="13" t="s">
        <v>272</v>
      </c>
      <c r="D111" s="13" t="s">
        <v>191</v>
      </c>
      <c r="E111" s="13" t="s">
        <v>18</v>
      </c>
      <c r="F111" s="50" t="s">
        <v>58</v>
      </c>
      <c r="G111" s="29">
        <f>I76</f>
        <v>46230</v>
      </c>
      <c r="H111" s="30">
        <v>14</v>
      </c>
      <c r="I111" s="29">
        <f t="shared" si="15"/>
        <v>46244</v>
      </c>
      <c r="J111" s="70">
        <f t="shared" ca="1" si="9"/>
        <v>0</v>
      </c>
      <c r="K111" s="86">
        <v>0</v>
      </c>
    </row>
    <row r="112" spans="1:11" ht="35.25" customHeight="1" outlineLevel="1" x14ac:dyDescent="0.3">
      <c r="A112" s="92" t="s">
        <v>167</v>
      </c>
      <c r="B112" s="13" t="s">
        <v>21</v>
      </c>
      <c r="C112" s="13" t="s">
        <v>192</v>
      </c>
      <c r="D112" s="13" t="s">
        <v>193</v>
      </c>
      <c r="E112" s="13" t="s">
        <v>18</v>
      </c>
      <c r="F112" s="50" t="s">
        <v>58</v>
      </c>
      <c r="G112" s="29">
        <f>I76</f>
        <v>46230</v>
      </c>
      <c r="H112" s="30">
        <v>14</v>
      </c>
      <c r="I112" s="29">
        <f>G112+H112</f>
        <v>46244</v>
      </c>
      <c r="J112" s="70">
        <f ca="1">IFERROR(MAX(0,MIN(1,(TODAY()-G112)/(I112-G112))),"")</f>
        <v>0</v>
      </c>
      <c r="K112" s="86">
        <v>0</v>
      </c>
    </row>
    <row r="113" spans="1:11" ht="35.25" customHeight="1" outlineLevel="1" x14ac:dyDescent="0.3">
      <c r="A113" s="92" t="s">
        <v>167</v>
      </c>
      <c r="B113" s="13" t="s">
        <v>21</v>
      </c>
      <c r="C113" s="13" t="s">
        <v>273</v>
      </c>
      <c r="D113" s="13" t="s">
        <v>194</v>
      </c>
      <c r="E113" s="13" t="s">
        <v>18</v>
      </c>
      <c r="F113" s="50" t="s">
        <v>58</v>
      </c>
      <c r="G113" s="29">
        <f>I76</f>
        <v>46230</v>
      </c>
      <c r="H113" s="30">
        <v>7</v>
      </c>
      <c r="I113" s="29">
        <f t="shared" si="15"/>
        <v>46237</v>
      </c>
      <c r="J113" s="70">
        <f t="shared" ca="1" si="9"/>
        <v>0</v>
      </c>
      <c r="K113" s="86">
        <v>0</v>
      </c>
    </row>
    <row r="114" spans="1:11" ht="35.25" customHeight="1" outlineLevel="1" x14ac:dyDescent="0.3">
      <c r="A114" s="92" t="s">
        <v>167</v>
      </c>
      <c r="B114" s="13" t="s">
        <v>21</v>
      </c>
      <c r="C114" s="13" t="s">
        <v>274</v>
      </c>
      <c r="D114" s="13" t="s">
        <v>195</v>
      </c>
      <c r="E114" s="13" t="s">
        <v>18</v>
      </c>
      <c r="F114" s="50" t="s">
        <v>58</v>
      </c>
      <c r="G114" s="40">
        <v>46154</v>
      </c>
      <c r="H114" s="30">
        <v>60</v>
      </c>
      <c r="I114" s="29">
        <f t="shared" si="15"/>
        <v>46214</v>
      </c>
      <c r="J114" s="70">
        <f t="shared" ca="1" si="9"/>
        <v>0</v>
      </c>
      <c r="K114" s="86">
        <v>0</v>
      </c>
    </row>
    <row r="115" spans="1:11" ht="35.25" customHeight="1" outlineLevel="1" x14ac:dyDescent="0.3">
      <c r="A115" s="92" t="s">
        <v>167</v>
      </c>
      <c r="B115" s="13" t="s">
        <v>21</v>
      </c>
      <c r="C115" s="13" t="s">
        <v>292</v>
      </c>
      <c r="D115" s="13" t="s">
        <v>196</v>
      </c>
      <c r="E115" s="13" t="s">
        <v>18</v>
      </c>
      <c r="F115" s="50" t="s">
        <v>58</v>
      </c>
      <c r="G115" s="40">
        <v>46154</v>
      </c>
      <c r="H115" s="30">
        <v>60</v>
      </c>
      <c r="I115" s="29">
        <f t="shared" ref="I115" si="20">G115+H115</f>
        <v>46214</v>
      </c>
      <c r="J115" s="70">
        <f t="shared" ref="J115" ca="1" si="21">IFERROR(MAX(0,MIN(1,(TODAY()-G115)/(I115-G115))),"")</f>
        <v>0</v>
      </c>
      <c r="K115" s="86">
        <v>0</v>
      </c>
    </row>
    <row r="116" spans="1:11" ht="35.25" customHeight="1" outlineLevel="1" x14ac:dyDescent="0.3">
      <c r="A116" s="92" t="s">
        <v>167</v>
      </c>
      <c r="B116" s="13" t="s">
        <v>21</v>
      </c>
      <c r="C116" s="13" t="s">
        <v>197</v>
      </c>
      <c r="D116" s="13" t="s">
        <v>198</v>
      </c>
      <c r="E116" s="13" t="s">
        <v>18</v>
      </c>
      <c r="F116" s="50" t="s">
        <v>58</v>
      </c>
      <c r="G116" s="29">
        <f>I76</f>
        <v>46230</v>
      </c>
      <c r="H116" s="30">
        <v>14</v>
      </c>
      <c r="I116" s="29">
        <f t="shared" si="15"/>
        <v>46244</v>
      </c>
      <c r="J116" s="70">
        <f t="shared" ref="J116:J119" ca="1" si="22">IFERROR(MAX(0,MIN(1,(TODAY()-G116)/(I116-G116))),"")</f>
        <v>0</v>
      </c>
      <c r="K116" s="86">
        <v>0</v>
      </c>
    </row>
    <row r="117" spans="1:11" ht="35.25" customHeight="1" outlineLevel="1" x14ac:dyDescent="0.3">
      <c r="A117" s="92" t="s">
        <v>167</v>
      </c>
      <c r="B117" s="13" t="s">
        <v>22</v>
      </c>
      <c r="C117" s="14" t="s">
        <v>230</v>
      </c>
      <c r="D117" s="14" t="s">
        <v>229</v>
      </c>
      <c r="E117" s="13" t="s">
        <v>37</v>
      </c>
      <c r="F117" s="50" t="s">
        <v>58</v>
      </c>
      <c r="G117" s="31">
        <f>I7</f>
        <v>46086</v>
      </c>
      <c r="H117" s="32">
        <v>21</v>
      </c>
      <c r="I117" s="29">
        <f t="shared" si="15"/>
        <v>46107</v>
      </c>
      <c r="J117" s="70">
        <f t="shared" ca="1" si="22"/>
        <v>0</v>
      </c>
      <c r="K117" s="86">
        <v>0</v>
      </c>
    </row>
    <row r="118" spans="1:11" ht="35.25" customHeight="1" outlineLevel="1" x14ac:dyDescent="0.3">
      <c r="A118" s="92" t="s">
        <v>167</v>
      </c>
      <c r="B118" s="13" t="s">
        <v>22</v>
      </c>
      <c r="C118" s="14" t="s">
        <v>227</v>
      </c>
      <c r="D118" s="14" t="s">
        <v>226</v>
      </c>
      <c r="E118" s="13" t="s">
        <v>37</v>
      </c>
      <c r="F118" s="50" t="s">
        <v>58</v>
      </c>
      <c r="G118" s="31">
        <f>I117</f>
        <v>46107</v>
      </c>
      <c r="H118" s="32">
        <v>21</v>
      </c>
      <c r="I118" s="29">
        <f t="shared" si="15"/>
        <v>46128</v>
      </c>
      <c r="J118" s="70">
        <f t="shared" ca="1" si="22"/>
        <v>0</v>
      </c>
      <c r="K118" s="86">
        <v>0</v>
      </c>
    </row>
    <row r="119" spans="1:11" ht="35.25" customHeight="1" outlineLevel="1" x14ac:dyDescent="0.3">
      <c r="A119" s="92" t="s">
        <v>167</v>
      </c>
      <c r="B119" s="13" t="s">
        <v>22</v>
      </c>
      <c r="C119" s="14" t="s">
        <v>231</v>
      </c>
      <c r="D119" s="14" t="s">
        <v>228</v>
      </c>
      <c r="E119" s="13" t="s">
        <v>37</v>
      </c>
      <c r="F119" s="50" t="s">
        <v>58</v>
      </c>
      <c r="G119" s="31">
        <f>I118</f>
        <v>46128</v>
      </c>
      <c r="H119" s="32">
        <v>14</v>
      </c>
      <c r="I119" s="29">
        <f>G119+H119</f>
        <v>46142</v>
      </c>
      <c r="J119" s="70">
        <f t="shared" ca="1" si="22"/>
        <v>0</v>
      </c>
      <c r="K119" s="86">
        <v>0</v>
      </c>
    </row>
    <row r="120" spans="1:11" ht="35.25" customHeight="1" outlineLevel="1" x14ac:dyDescent="0.3">
      <c r="A120" s="92" t="s">
        <v>167</v>
      </c>
      <c r="B120" s="13" t="s">
        <v>22</v>
      </c>
      <c r="C120" s="13" t="s">
        <v>232</v>
      </c>
      <c r="D120" s="13" t="s">
        <v>199</v>
      </c>
      <c r="E120" s="13" t="s">
        <v>37</v>
      </c>
      <c r="F120" s="50" t="s">
        <v>58</v>
      </c>
      <c r="G120" s="40">
        <v>46117</v>
      </c>
      <c r="H120" s="30">
        <v>14</v>
      </c>
      <c r="I120" s="29">
        <f>G120+H120</f>
        <v>46131</v>
      </c>
      <c r="J120" s="70">
        <f ca="1">IFERROR(MAX(0,MIN(1,(TODAY()-G120)/(I120-G120))),"")</f>
        <v>0</v>
      </c>
      <c r="K120" s="86">
        <v>0</v>
      </c>
    </row>
    <row r="121" spans="1:11" ht="35.25" customHeight="1" outlineLevel="1" x14ac:dyDescent="0.3">
      <c r="A121" s="92" t="s">
        <v>167</v>
      </c>
      <c r="B121" s="14" t="s">
        <v>23</v>
      </c>
      <c r="C121" s="18" t="s">
        <v>293</v>
      </c>
      <c r="D121" s="18" t="s">
        <v>200</v>
      </c>
      <c r="E121" s="19" t="s">
        <v>307</v>
      </c>
      <c r="F121" s="50" t="s">
        <v>58</v>
      </c>
      <c r="G121" s="31">
        <f>I33</f>
        <v>46094</v>
      </c>
      <c r="H121" s="37">
        <v>7</v>
      </c>
      <c r="I121" s="29">
        <f t="shared" si="15"/>
        <v>46101</v>
      </c>
      <c r="J121" s="71">
        <f ca="1">IFERROR(MAX(0,MIN(1,(TODAY()-G121)/(I121-G121))),"")</f>
        <v>0</v>
      </c>
      <c r="K121" s="86">
        <v>0</v>
      </c>
    </row>
    <row r="122" spans="1:11" ht="35.25" customHeight="1" outlineLevel="1" x14ac:dyDescent="0.3">
      <c r="A122" s="92" t="s">
        <v>167</v>
      </c>
      <c r="B122" s="13" t="s">
        <v>23</v>
      </c>
      <c r="C122" s="17" t="s">
        <v>201</v>
      </c>
      <c r="D122" s="17" t="s">
        <v>311</v>
      </c>
      <c r="E122" s="22" t="s">
        <v>26</v>
      </c>
      <c r="F122" s="50" t="s">
        <v>58</v>
      </c>
      <c r="G122" s="29">
        <f>I76</f>
        <v>46230</v>
      </c>
      <c r="H122" s="35">
        <v>7</v>
      </c>
      <c r="I122" s="29">
        <f t="shared" si="15"/>
        <v>46237</v>
      </c>
      <c r="J122" s="70">
        <f ca="1">IFERROR(MAX(0,MIN(1,(TODAY()-G122)/(I122-G122))),"")</f>
        <v>0</v>
      </c>
      <c r="K122" s="86">
        <v>0</v>
      </c>
    </row>
    <row r="123" spans="1:11" ht="35.25" customHeight="1" outlineLevel="1" x14ac:dyDescent="0.3">
      <c r="A123" s="92" t="s">
        <v>167</v>
      </c>
      <c r="B123" s="19" t="s">
        <v>23</v>
      </c>
      <c r="C123" s="19" t="s">
        <v>291</v>
      </c>
      <c r="D123" s="19" t="s">
        <v>202</v>
      </c>
      <c r="E123" s="22" t="s">
        <v>26</v>
      </c>
      <c r="F123" s="50" t="s">
        <v>58</v>
      </c>
      <c r="G123" s="29">
        <f>$I$121</f>
        <v>46101</v>
      </c>
      <c r="H123" s="27">
        <v>14</v>
      </c>
      <c r="I123" s="29">
        <f t="shared" si="15"/>
        <v>46115</v>
      </c>
      <c r="J123" s="69">
        <f t="shared" ca="1" si="9"/>
        <v>0</v>
      </c>
      <c r="K123" s="86">
        <v>0</v>
      </c>
    </row>
    <row r="124" spans="1:11" ht="35.25" customHeight="1" outlineLevel="1" x14ac:dyDescent="0.3">
      <c r="A124" s="92" t="s">
        <v>167</v>
      </c>
      <c r="B124" s="13" t="s">
        <v>23</v>
      </c>
      <c r="C124" s="13" t="s">
        <v>313</v>
      </c>
      <c r="D124" s="13" t="s">
        <v>203</v>
      </c>
      <c r="E124" s="22" t="s">
        <v>26</v>
      </c>
      <c r="F124" s="50" t="s">
        <v>58</v>
      </c>
      <c r="G124" s="29">
        <f>$I$121</f>
        <v>46101</v>
      </c>
      <c r="H124" s="27">
        <v>14</v>
      </c>
      <c r="I124" s="29">
        <f t="shared" si="15"/>
        <v>46115</v>
      </c>
      <c r="J124" s="70">
        <f t="shared" ca="1" si="9"/>
        <v>0</v>
      </c>
      <c r="K124" s="86">
        <v>0</v>
      </c>
    </row>
    <row r="125" spans="1:11" ht="35.25" customHeight="1" outlineLevel="1" x14ac:dyDescent="0.3">
      <c r="A125" s="92" t="s">
        <v>167</v>
      </c>
      <c r="B125" s="13" t="s">
        <v>25</v>
      </c>
      <c r="C125" s="13" t="s">
        <v>275</v>
      </c>
      <c r="D125" s="13" t="s">
        <v>204</v>
      </c>
      <c r="E125" s="13" t="s">
        <v>24</v>
      </c>
      <c r="F125" s="50" t="s">
        <v>58</v>
      </c>
      <c r="G125" s="29">
        <f>$I$8</f>
        <v>46085</v>
      </c>
      <c r="H125" s="30">
        <v>14</v>
      </c>
      <c r="I125" s="29">
        <f t="shared" si="15"/>
        <v>46099</v>
      </c>
      <c r="J125" s="70">
        <f t="shared" ca="1" si="9"/>
        <v>0</v>
      </c>
      <c r="K125" s="86">
        <v>0</v>
      </c>
    </row>
    <row r="126" spans="1:11" ht="35.25" customHeight="1" outlineLevel="1" x14ac:dyDescent="0.3">
      <c r="A126" s="92" t="s">
        <v>167</v>
      </c>
      <c r="B126" s="13" t="s">
        <v>25</v>
      </c>
      <c r="C126" s="13" t="s">
        <v>277</v>
      </c>
      <c r="D126" s="13" t="s">
        <v>205</v>
      </c>
      <c r="E126" s="13" t="s">
        <v>24</v>
      </c>
      <c r="F126" s="50" t="s">
        <v>58</v>
      </c>
      <c r="G126" s="29">
        <f>I56</f>
        <v>46161</v>
      </c>
      <c r="H126" s="27">
        <v>14</v>
      </c>
      <c r="I126" s="29">
        <f t="shared" si="15"/>
        <v>46175</v>
      </c>
      <c r="J126" s="70">
        <f t="shared" ca="1" si="9"/>
        <v>0</v>
      </c>
      <c r="K126" s="86">
        <v>0</v>
      </c>
    </row>
    <row r="127" spans="1:11" ht="35.25" customHeight="1" outlineLevel="1" x14ac:dyDescent="0.3">
      <c r="A127" s="92" t="s">
        <v>167</v>
      </c>
      <c r="B127" s="13" t="s">
        <v>25</v>
      </c>
      <c r="C127" s="13" t="s">
        <v>206</v>
      </c>
      <c r="D127" s="13" t="s">
        <v>207</v>
      </c>
      <c r="E127" s="13" t="s">
        <v>24</v>
      </c>
      <c r="F127" s="50" t="s">
        <v>58</v>
      </c>
      <c r="G127" s="29">
        <f>I56</f>
        <v>46161</v>
      </c>
      <c r="H127" s="27">
        <v>14</v>
      </c>
      <c r="I127" s="29">
        <f t="shared" si="15"/>
        <v>46175</v>
      </c>
      <c r="J127" s="70">
        <f t="shared" ca="1" si="9"/>
        <v>0</v>
      </c>
      <c r="K127" s="86">
        <v>0</v>
      </c>
    </row>
    <row r="128" spans="1:11" ht="35.25" customHeight="1" outlineLevel="1" x14ac:dyDescent="0.3">
      <c r="A128" s="92" t="s">
        <v>167</v>
      </c>
      <c r="B128" s="13" t="s">
        <v>25</v>
      </c>
      <c r="C128" s="13" t="s">
        <v>208</v>
      </c>
      <c r="D128" s="13" t="s">
        <v>209</v>
      </c>
      <c r="E128" s="13" t="s">
        <v>24</v>
      </c>
      <c r="F128" s="50" t="s">
        <v>58</v>
      </c>
      <c r="G128" s="29">
        <f>I56</f>
        <v>46161</v>
      </c>
      <c r="H128" s="27">
        <v>14</v>
      </c>
      <c r="I128" s="29">
        <f t="shared" si="15"/>
        <v>46175</v>
      </c>
      <c r="J128" s="70">
        <f t="shared" ca="1" si="9"/>
        <v>0</v>
      </c>
      <c r="K128" s="86">
        <v>0</v>
      </c>
    </row>
    <row r="129" spans="1:11" ht="35.25" customHeight="1" outlineLevel="1" x14ac:dyDescent="0.3">
      <c r="A129" s="92" t="s">
        <v>167</v>
      </c>
      <c r="B129" s="13" t="s">
        <v>25</v>
      </c>
      <c r="C129" s="13" t="s">
        <v>210</v>
      </c>
      <c r="D129" s="13" t="s">
        <v>211</v>
      </c>
      <c r="E129" s="13" t="s">
        <v>24</v>
      </c>
      <c r="F129" s="50" t="s">
        <v>58</v>
      </c>
      <c r="G129" s="29">
        <f>I76</f>
        <v>46230</v>
      </c>
      <c r="H129" s="30">
        <v>7</v>
      </c>
      <c r="I129" s="29">
        <f t="shared" si="15"/>
        <v>46237</v>
      </c>
      <c r="J129" s="70">
        <f t="shared" ca="1" si="9"/>
        <v>0</v>
      </c>
      <c r="K129" s="86">
        <v>0</v>
      </c>
    </row>
    <row r="130" spans="1:11" ht="35.25" customHeight="1" outlineLevel="1" x14ac:dyDescent="0.3">
      <c r="A130" s="92" t="s">
        <v>167</v>
      </c>
      <c r="B130" s="13" t="s">
        <v>27</v>
      </c>
      <c r="C130" s="13" t="s">
        <v>212</v>
      </c>
      <c r="D130" s="13" t="s">
        <v>213</v>
      </c>
      <c r="E130" s="13" t="s">
        <v>29</v>
      </c>
      <c r="F130" s="50" t="s">
        <v>58</v>
      </c>
      <c r="G130" s="40">
        <v>46131</v>
      </c>
      <c r="H130" s="30">
        <v>14</v>
      </c>
      <c r="I130" s="29">
        <f t="shared" si="15"/>
        <v>46145</v>
      </c>
      <c r="J130" s="70">
        <f t="shared" ref="J130:J133" ca="1" si="23">IFERROR(MAX(0,MIN(1,(TODAY()-G130)/(I130-G130))),"")</f>
        <v>0</v>
      </c>
      <c r="K130" s="86">
        <v>0</v>
      </c>
    </row>
    <row r="131" spans="1:11" ht="35.25" customHeight="1" outlineLevel="1" x14ac:dyDescent="0.3">
      <c r="A131" s="92" t="s">
        <v>167</v>
      </c>
      <c r="B131" s="13" t="s">
        <v>27</v>
      </c>
      <c r="C131" s="13" t="s">
        <v>214</v>
      </c>
      <c r="D131" s="13" t="s">
        <v>215</v>
      </c>
      <c r="E131" s="13" t="s">
        <v>29</v>
      </c>
      <c r="F131" s="50" t="s">
        <v>58</v>
      </c>
      <c r="G131" s="29">
        <f>I56-7</f>
        <v>46154</v>
      </c>
      <c r="H131" s="30">
        <v>7</v>
      </c>
      <c r="I131" s="29">
        <f t="shared" si="15"/>
        <v>46161</v>
      </c>
      <c r="J131" s="70">
        <f t="shared" ca="1" si="23"/>
        <v>0</v>
      </c>
      <c r="K131" s="86">
        <v>0</v>
      </c>
    </row>
    <row r="132" spans="1:11" ht="35.25" customHeight="1" outlineLevel="1" x14ac:dyDescent="0.3">
      <c r="A132" s="92" t="s">
        <v>167</v>
      </c>
      <c r="B132" s="13" t="s">
        <v>27</v>
      </c>
      <c r="C132" s="13" t="s">
        <v>216</v>
      </c>
      <c r="D132" s="13" t="s">
        <v>217</v>
      </c>
      <c r="E132" s="13" t="s">
        <v>29</v>
      </c>
      <c r="F132" s="50" t="s">
        <v>58</v>
      </c>
      <c r="G132" s="29">
        <f>I56-7</f>
        <v>46154</v>
      </c>
      <c r="H132" s="30">
        <v>7</v>
      </c>
      <c r="I132" s="29">
        <f t="shared" si="15"/>
        <v>46161</v>
      </c>
      <c r="J132" s="70">
        <f t="shared" ca="1" si="23"/>
        <v>0</v>
      </c>
      <c r="K132" s="86">
        <v>0</v>
      </c>
    </row>
    <row r="133" spans="1:11" ht="35.25" customHeight="1" outlineLevel="1" x14ac:dyDescent="0.3">
      <c r="A133" s="92" t="s">
        <v>167</v>
      </c>
      <c r="B133" s="13" t="s">
        <v>28</v>
      </c>
      <c r="C133" s="13" t="s">
        <v>276</v>
      </c>
      <c r="D133" s="13" t="s">
        <v>218</v>
      </c>
      <c r="E133" s="13" t="s">
        <v>38</v>
      </c>
      <c r="F133" s="50" t="s">
        <v>58</v>
      </c>
      <c r="G133" s="40">
        <f>I76</f>
        <v>46230</v>
      </c>
      <c r="H133" s="30">
        <v>14</v>
      </c>
      <c r="I133" s="29">
        <f t="shared" si="15"/>
        <v>46244</v>
      </c>
      <c r="J133" s="70">
        <f t="shared" ca="1" si="23"/>
        <v>0</v>
      </c>
      <c r="K133" s="86">
        <v>0</v>
      </c>
    </row>
  </sheetData>
  <phoneticPr fontId="1" type="noConversion"/>
  <conditionalFormatting sqref="F5:F133">
    <cfRule type="cellIs" dxfId="1" priority="1" operator="equal">
      <formula>"On-track"</formula>
    </cfRule>
    <cfRule type="cellIs" dxfId="0" priority="2" operator="equal">
      <formula>"Completed"</formula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26EF8-8E09-4CA8-803D-E80EAFCCDBD3}">
          <x14:formula1>
            <xm:f>'Data Validation List'!$B$2:$B$5</xm:f>
          </x14:formula1>
          <xm:sqref>F4:F133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045A-44D2-49CB-ABC9-619A4644E9DD}">
  <dimension ref="A1:B5"/>
  <sheetViews>
    <sheetView workbookViewId="0">
      <selection activeCell="B6" sqref="B6"/>
    </sheetView>
  </sheetViews>
  <sheetFormatPr defaultRowHeight="15.05" x14ac:dyDescent="0.3"/>
  <sheetData>
    <row r="1" spans="1:2" x14ac:dyDescent="0.3">
      <c r="A1" s="2" t="s">
        <v>219</v>
      </c>
      <c r="B1" s="2" t="s">
        <v>44</v>
      </c>
    </row>
    <row r="2" spans="1:2" x14ac:dyDescent="0.3">
      <c r="A2" t="s">
        <v>220</v>
      </c>
      <c r="B2" t="s">
        <v>58</v>
      </c>
    </row>
    <row r="3" spans="1:2" x14ac:dyDescent="0.3">
      <c r="A3" t="s">
        <v>221</v>
      </c>
      <c r="B3" t="s">
        <v>11</v>
      </c>
    </row>
    <row r="4" spans="1:2" x14ac:dyDescent="0.3">
      <c r="B4" t="s">
        <v>9</v>
      </c>
    </row>
    <row r="5" spans="1:2" x14ac:dyDescent="0.3">
      <c r="B5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839370989C172478E064E5BCF4801F8" ma:contentTypeVersion="3" ma:contentTypeDescription="Ein neues Dokument erstellen." ma:contentTypeScope="" ma:versionID="8b4a6b4d51c90acf6be755d9a00ac49c">
  <xsd:schema xmlns:xsd="http://www.w3.org/2001/XMLSchema" xmlns:xs="http://www.w3.org/2001/XMLSchema" xmlns:p="http://schemas.microsoft.com/office/2006/metadata/properties" xmlns:ns2="21f0fdc0-0d93-4955-8588-5964cc3f9f5f" targetNamespace="http://schemas.microsoft.com/office/2006/metadata/properties" ma:root="true" ma:fieldsID="627b31aa04117aa33a9e667f5f46a580" ns2:_="">
    <xsd:import namespace="21f0fdc0-0d93-4955-8588-5964cc3f9f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0fdc0-0d93-4955-8588-5964cc3f9f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F8831F-A399-4D90-8288-EB5B59545CB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2F2AA38-48E5-49AA-943B-DD47064FA5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f0fdc0-0d93-4955-8588-5964cc3f9f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450B77-4CFA-445A-9294-C12A6D24BA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Summary</vt:lpstr>
      <vt:lpstr>JV Readiness Plan</vt:lpstr>
      <vt:lpstr>Data Validation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Diego Silva</cp:lastModifiedBy>
  <cp:revision/>
  <dcterms:created xsi:type="dcterms:W3CDTF">2026-01-16T11:47:19Z</dcterms:created>
  <dcterms:modified xsi:type="dcterms:W3CDTF">2026-03-02T11:27:03Z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0x0101004839370989C172478E064E5BCF4801F8</vt:lpwstr>
  </property>
</Properties>
</file>